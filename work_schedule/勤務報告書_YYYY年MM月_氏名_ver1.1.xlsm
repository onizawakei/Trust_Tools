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トラストクリエイション１０\Desktop\"/>
    </mc:Choice>
  </mc:AlternateContent>
  <xr:revisionPtr revIDLastSave="0" documentId="13_ncr:1_{8283191E-8C9F-409E-934B-0566312D60D3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勤務報告書" sheetId="1" r:id="rId1"/>
    <sheet name="基本情報" sheetId="2" r:id="rId2"/>
    <sheet name="更新履歴" sheetId="3" r:id="rId3"/>
  </sheets>
  <definedNames>
    <definedName name="_xlnm.Print_Area" localSheetId="0">勤務報告書!$A$1:$V$47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8" i="1" l="1"/>
  <c r="K38" i="1"/>
  <c r="J38" i="1"/>
  <c r="I38" i="1"/>
  <c r="H38" i="1"/>
  <c r="H37" i="1"/>
  <c r="H36" i="1"/>
  <c r="L12" i="1" l="1"/>
  <c r="L13" i="1"/>
  <c r="L16" i="1"/>
  <c r="L17" i="1"/>
  <c r="L18" i="1"/>
  <c r="L19" i="1"/>
  <c r="L20" i="1"/>
  <c r="L21" i="1"/>
  <c r="L23" i="1"/>
  <c r="L24" i="1"/>
  <c r="L25" i="1"/>
  <c r="L26" i="1"/>
  <c r="L27" i="1"/>
  <c r="L30" i="1"/>
  <c r="L31" i="1"/>
  <c r="L32" i="1"/>
  <c r="L33" i="1"/>
  <c r="L34" i="1"/>
  <c r="L39" i="1"/>
  <c r="L40" i="1"/>
  <c r="L11" i="1"/>
  <c r="K12" i="1"/>
  <c r="K13" i="1"/>
  <c r="K16" i="1"/>
  <c r="K17" i="1"/>
  <c r="K18" i="1"/>
  <c r="K19" i="1"/>
  <c r="K20" i="1"/>
  <c r="K21" i="1"/>
  <c r="K23" i="1"/>
  <c r="K24" i="1"/>
  <c r="K25" i="1"/>
  <c r="K26" i="1"/>
  <c r="K27" i="1"/>
  <c r="K30" i="1"/>
  <c r="K31" i="1"/>
  <c r="K32" i="1"/>
  <c r="K33" i="1"/>
  <c r="K34" i="1"/>
  <c r="K39" i="1"/>
  <c r="K40" i="1"/>
  <c r="K11" i="1"/>
  <c r="J12" i="1"/>
  <c r="J13" i="1"/>
  <c r="J16" i="1"/>
  <c r="J17" i="1"/>
  <c r="J18" i="1"/>
  <c r="J19" i="1"/>
  <c r="J20" i="1"/>
  <c r="J21" i="1"/>
  <c r="J23" i="1"/>
  <c r="J24" i="1"/>
  <c r="J25" i="1"/>
  <c r="J26" i="1"/>
  <c r="J27" i="1"/>
  <c r="J30" i="1"/>
  <c r="J31" i="1"/>
  <c r="J32" i="1"/>
  <c r="J33" i="1"/>
  <c r="J34" i="1"/>
  <c r="J39" i="1"/>
  <c r="J40" i="1"/>
  <c r="J11" i="1"/>
  <c r="I12" i="1"/>
  <c r="I13" i="1"/>
  <c r="I16" i="1"/>
  <c r="I17" i="1"/>
  <c r="I18" i="1"/>
  <c r="I19" i="1"/>
  <c r="I20" i="1"/>
  <c r="I21" i="1"/>
  <c r="I23" i="1"/>
  <c r="I24" i="1"/>
  <c r="I25" i="1"/>
  <c r="I26" i="1"/>
  <c r="I27" i="1"/>
  <c r="I30" i="1"/>
  <c r="I31" i="1"/>
  <c r="I32" i="1"/>
  <c r="I33" i="1"/>
  <c r="I34" i="1"/>
  <c r="I39" i="1"/>
  <c r="I40" i="1"/>
  <c r="I11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9" i="1"/>
  <c r="H40" i="1"/>
  <c r="H10" i="1" l="1"/>
  <c r="S13" i="1" l="1"/>
  <c r="L10" i="1"/>
  <c r="K10" i="1"/>
  <c r="J10" i="1"/>
  <c r="I10" i="1"/>
  <c r="X40" i="1" l="1"/>
  <c r="X38" i="1" l="1"/>
  <c r="L8" i="2" l="1"/>
  <c r="J9" i="2" s="1"/>
  <c r="L9" i="2" s="1"/>
  <c r="J10" i="2" s="1"/>
  <c r="L10" i="2" s="1"/>
  <c r="J11" i="2" s="1"/>
  <c r="L11" i="2" s="1"/>
  <c r="J12" i="2" s="1"/>
  <c r="L12" i="2" s="1"/>
  <c r="J13" i="2" s="1"/>
  <c r="L13" i="2" s="1"/>
  <c r="J14" i="2" s="1"/>
  <c r="L14" i="2" s="1"/>
  <c r="J15" i="2" s="1"/>
  <c r="L15" i="2" s="1"/>
  <c r="J16" i="2" s="1"/>
  <c r="L16" i="2" l="1"/>
  <c r="J17" i="2" s="1"/>
  <c r="I9" i="2"/>
  <c r="I10" i="2" s="1"/>
  <c r="I11" i="2" s="1"/>
  <c r="I12" i="2" s="1"/>
  <c r="I13" i="2" s="1"/>
  <c r="I14" i="2" s="1"/>
  <c r="L17" i="2" l="1"/>
  <c r="J18" i="2" s="1"/>
  <c r="J45" i="1"/>
  <c r="I15" i="2"/>
  <c r="I16" i="2" s="1"/>
  <c r="AB1" i="1"/>
  <c r="AB2" i="1"/>
  <c r="J5" i="1" s="1"/>
  <c r="AA4" i="1" s="1"/>
  <c r="C4" i="1"/>
  <c r="C5" i="1"/>
  <c r="E41" i="1"/>
  <c r="F41" i="1"/>
  <c r="G41" i="1"/>
  <c r="H46" i="1"/>
  <c r="L18" i="2" l="1"/>
  <c r="J19" i="2" s="1"/>
  <c r="L19" i="2" s="1"/>
  <c r="I17" i="2"/>
  <c r="I18" i="2" s="1"/>
  <c r="I19" i="2" s="1"/>
  <c r="Y4" i="1"/>
  <c r="F45" i="1"/>
  <c r="E45" i="1" s="1"/>
  <c r="E46" i="1" s="1"/>
  <c r="L45" i="1" s="1"/>
  <c r="H41" i="1"/>
  <c r="F46" i="1" l="1"/>
  <c r="X10" i="1"/>
  <c r="X11" i="1" l="1"/>
  <c r="X14" i="1" l="1"/>
  <c r="X12" i="1"/>
  <c r="Z14" i="1" l="1"/>
  <c r="X13" i="1"/>
  <c r="J14" i="1" l="1"/>
  <c r="K14" i="1"/>
  <c r="L14" i="1"/>
  <c r="I14" i="1"/>
  <c r="X15" i="1"/>
  <c r="Z15" i="1" s="1"/>
  <c r="I15" i="1" l="1"/>
  <c r="J15" i="1"/>
  <c r="K15" i="1"/>
  <c r="L15" i="1"/>
  <c r="X16" i="1"/>
  <c r="X17" i="1" l="1"/>
  <c r="X18" i="1"/>
  <c r="X19" i="1" l="1"/>
  <c r="X20" i="1" l="1"/>
  <c r="X21" i="1" l="1"/>
  <c r="X22" i="1" l="1"/>
  <c r="Z22" i="1" l="1"/>
  <c r="X23" i="1"/>
  <c r="J22" i="1" l="1"/>
  <c r="K22" i="1"/>
  <c r="L22" i="1"/>
  <c r="I22" i="1"/>
  <c r="X24" i="1"/>
  <c r="X25" i="1" l="1"/>
  <c r="X26" i="1" l="1"/>
  <c r="X27" i="1" l="1"/>
  <c r="X28" i="1" l="1"/>
  <c r="Z28" i="1" l="1"/>
  <c r="X29" i="1"/>
  <c r="L28" i="1" l="1"/>
  <c r="I28" i="1"/>
  <c r="J28" i="1"/>
  <c r="K28" i="1"/>
  <c r="Z29" i="1"/>
  <c r="X30" i="1"/>
  <c r="K29" i="1" l="1"/>
  <c r="L29" i="1"/>
  <c r="I29" i="1"/>
  <c r="J29" i="1"/>
  <c r="X31" i="1"/>
  <c r="X32" i="1" l="1"/>
  <c r="X33" i="1" l="1"/>
  <c r="X34" i="1" l="1"/>
  <c r="X35" i="1" l="1"/>
  <c r="Z35" i="1" l="1"/>
  <c r="X36" i="1"/>
  <c r="I35" i="1" l="1"/>
  <c r="J35" i="1"/>
  <c r="K35" i="1"/>
  <c r="L35" i="1"/>
  <c r="Z36" i="1"/>
  <c r="X37" i="1"/>
  <c r="L36" i="1" l="1"/>
  <c r="K36" i="1"/>
  <c r="J36" i="1"/>
  <c r="I36" i="1"/>
  <c r="Z37" i="1"/>
  <c r="L37" i="1" l="1"/>
  <c r="K37" i="1"/>
  <c r="J37" i="1"/>
  <c r="I37" i="1"/>
  <c r="X39" i="1"/>
  <c r="J41" i="1" l="1"/>
  <c r="X41" i="1"/>
  <c r="K41" i="1" l="1"/>
  <c r="U45" i="1" s="1"/>
  <c r="I41" i="1"/>
  <c r="S45" i="1" s="1"/>
  <c r="L41" i="1"/>
  <c r="V45" i="1" s="1"/>
  <c r="T4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TC_Izawa</author>
    <author>suzuki-t4</author>
    <author>CRESCO 井澤</author>
  </authors>
  <commentList>
    <comment ref="H5" authorId="0" shapeId="0" xr:uid="{00000000-0006-0000-0000-000001000000}">
      <text>
        <r>
          <rPr>
            <sz val="9"/>
            <rFont val="ＭＳ Ｐゴシック"/>
            <family val="3"/>
            <charset val="134"/>
          </rPr>
          <t>勤怠基本情報と異なる場合は直接入力。</t>
        </r>
      </text>
    </comment>
    <comment ref="H6" authorId="0" shapeId="0" xr:uid="{00000000-0006-0000-0000-000002000000}">
      <text>
        <r>
          <rPr>
            <sz val="9"/>
            <rFont val="ＭＳ Ｐゴシック"/>
            <family val="3"/>
            <charset val="134"/>
          </rPr>
          <t>勤怠基本情報と異なる場合は直接入力。</t>
        </r>
      </text>
    </comment>
    <comment ref="E8" authorId="1" shapeId="0" xr:uid="{00000000-0006-0000-0000-000003000000}">
      <text>
        <r>
          <rPr>
            <sz val="9"/>
            <rFont val="ＭＳ Ｐゴシック"/>
            <family val="3"/>
            <charset val="134"/>
          </rPr>
          <t>・1週以上前の申請がある勤怠は背景『青』
・申請（遅れ）無しの有給振替は背景『黄』
・有給振替しない場合（欠勤扱い）は背景『赤』を自分で記入
※事後申請の場合も理由が不適切な場合は欠勤扱いとする
・全休・半休をした場合は「1」を記入
・遅刻・早退は1カ月の総時間で有給振替するため、その時間を記入</t>
        </r>
      </text>
    </comment>
    <comment ref="I8" authorId="1" shapeId="0" xr:uid="{00000000-0006-0000-0000-000004000000}">
      <text>
        <r>
          <rPr>
            <sz val="9"/>
            <rFont val="ＭＳ Ｐゴシック"/>
            <family val="3"/>
            <charset val="134"/>
          </rPr>
          <t>時間外時間が違う場合は直接修正する</t>
        </r>
      </text>
    </comment>
    <comment ref="M8" authorId="1" shapeId="0" xr:uid="{00000000-0006-0000-0000-000005000000}">
      <text>
        <r>
          <rPr>
            <sz val="9"/>
            <rFont val="ＭＳ Ｐゴシック"/>
            <family val="3"/>
            <charset val="134"/>
          </rPr>
          <t>休憩時間が違う場合は直接修正する</t>
        </r>
      </text>
    </comment>
    <comment ref="Y8" authorId="2" shapeId="0" xr:uid="{00000000-0006-0000-0000-000006000000}">
      <text>
        <r>
          <rPr>
            <sz val="9"/>
            <rFont val="ＭＳ Ｐゴシック"/>
            <family val="3"/>
            <charset val="134"/>
          </rPr>
          <t>2008/5/30 Izawa
Null以外の値を
セットするとセルが
桃色になる</t>
        </r>
      </text>
    </comment>
    <comment ref="E9" authorId="1" shapeId="0" xr:uid="{00000000-0006-0000-0000-000007000000}">
      <text>
        <r>
          <rPr>
            <sz val="9"/>
            <rFont val="ＭＳ Ｐゴシック"/>
            <family val="3"/>
            <charset val="134"/>
          </rPr>
          <t>時間を記入</t>
        </r>
      </text>
    </comment>
    <comment ref="F9" authorId="1" shapeId="0" xr:uid="{00000000-0006-0000-0000-000008000000}">
      <text>
        <r>
          <rPr>
            <sz val="9"/>
            <rFont val="ＭＳ Ｐゴシック"/>
            <family val="3"/>
            <charset val="134"/>
          </rPr>
          <t xml:space="preserve">１週間以上前に有給申請をおこなっている場合は”○”を記入
</t>
        </r>
      </text>
    </comment>
    <comment ref="G9" authorId="1" shapeId="0" xr:uid="{00000000-0006-0000-0000-000009000000}">
      <text>
        <r>
          <rPr>
            <sz val="9"/>
            <rFont val="ＭＳ Ｐゴシック"/>
            <family val="3"/>
            <charset val="134"/>
          </rPr>
          <t>１週間以内 若しくは事後に有給申請を行い受理された場合”○”を記入
遅刻・早退の短時間なものは、メール連絡にて申請したとみなす</t>
        </r>
      </text>
    </comment>
    <comment ref="H9" authorId="1" shapeId="0" xr:uid="{00000000-0006-0000-0000-00000A000000}">
      <text>
        <r>
          <rPr>
            <sz val="9"/>
            <rFont val="ＭＳ Ｐゴシック"/>
            <family val="3"/>
            <charset val="134"/>
          </rPr>
          <t>申請を行っていない場合や受理されなかった場合
また、意図的に有給休暇としたくない場合は前２項目に”○”を設定しなければ、自動設定される</t>
        </r>
      </text>
    </comment>
    <comment ref="J44" authorId="1" shapeId="0" xr:uid="{00000000-0006-0000-0000-00000B000000}">
      <text>
        <r>
          <rPr>
            <sz val="9"/>
            <rFont val="ＭＳ Ｐゴシック"/>
            <family val="3"/>
            <charset val="134"/>
          </rPr>
          <t>自動計算</t>
        </r>
      </text>
    </comment>
    <comment ref="L44" authorId="1" shapeId="0" xr:uid="{00000000-0006-0000-0000-00000C000000}">
      <text>
        <r>
          <rPr>
            <sz val="9"/>
            <rFont val="ＭＳ Ｐゴシック"/>
            <family val="3"/>
            <charset val="134"/>
          </rPr>
          <t>特別休暇を除く有給日数を
自動計算</t>
        </r>
      </text>
    </comment>
    <comment ref="N44" authorId="1" shapeId="0" xr:uid="{00000000-0006-0000-0000-00000D000000}">
      <text>
        <r>
          <rPr>
            <sz val="9"/>
            <rFont val="ＭＳ Ｐゴシック"/>
            <family val="3"/>
            <charset val="134"/>
          </rPr>
          <t>自動計算</t>
        </r>
      </text>
    </comment>
  </commentList>
</comments>
</file>

<file path=xl/sharedStrings.xml><?xml version="1.0" encoding="utf-8"?>
<sst xmlns="http://schemas.openxmlformats.org/spreadsheetml/2006/main" count="218" uniqueCount="159">
  <si>
    <t>勤務報告書</t>
  </si>
  <si>
    <t>ver 1.33</t>
  </si>
  <si>
    <t>通常</t>
  </si>
  <si>
    <t>午後始業</t>
  </si>
  <si>
    <t>深夜</t>
  </si>
  <si>
    <t>所属</t>
  </si>
  <si>
    <t>担当印</t>
  </si>
  <si>
    <t>氏名</t>
  </si>
  <si>
    <t>年</t>
  </si>
  <si>
    <t>月</t>
  </si>
  <si>
    <t>ﾌﾟﾛｼﾞｪｸﾄ</t>
  </si>
  <si>
    <t>作業分</t>
  </si>
  <si>
    <t>主業務</t>
  </si>
  <si>
    <t>日</t>
  </si>
  <si>
    <t>曜日</t>
  </si>
  <si>
    <t>開始</t>
  </si>
  <si>
    <t>終了</t>
  </si>
  <si>
    <t>勤怠状況</t>
  </si>
  <si>
    <t>申請状況</t>
  </si>
  <si>
    <t>時間外</t>
  </si>
  <si>
    <t>休憩</t>
  </si>
  <si>
    <t>実時間</t>
  </si>
  <si>
    <t>連絡事項 ／ 主業務以外内容　／　備考</t>
  </si>
  <si>
    <t>休日フラグ</t>
  </si>
  <si>
    <t>計算用フラグ</t>
  </si>
  <si>
    <t>不在時間</t>
  </si>
  <si>
    <t>１週前</t>
  </si>
  <si>
    <t>１週内</t>
  </si>
  <si>
    <t>欠勤</t>
  </si>
  <si>
    <t>夜間</t>
  </si>
  <si>
    <t>休日
通常</t>
  </si>
  <si>
    <t>休日
夜間</t>
  </si>
  <si>
    <t>-</t>
  </si>
  <si>
    <t>【有給内訳】</t>
  </si>
  <si>
    <t>【残業内訳】</t>
  </si>
  <si>
    <t>有給休暇</t>
  </si>
  <si>
    <t>特別休暇</t>
  </si>
  <si>
    <t>有給日数</t>
  </si>
  <si>
    <t>使用日数</t>
  </si>
  <si>
    <t>有給残</t>
  </si>
  <si>
    <t>通常残業</t>
  </si>
  <si>
    <t>通常夜間</t>
  </si>
  <si>
    <t>休日残業</t>
  </si>
  <si>
    <t>休日夜間</t>
  </si>
  <si>
    <t>日数</t>
  </si>
  <si>
    <t>※特別休暇取得時間を入力</t>
  </si>
  <si>
    <t>※夜間：２２：００～翌５：００、休日：日曜・祝祭日</t>
  </si>
  <si>
    <t>株式会社トラストクリエイション</t>
  </si>
  <si>
    <t>基本情報</t>
  </si>
  <si>
    <t>年月情報</t>
  </si>
  <si>
    <t>年月</t>
  </si>
  <si>
    <t>※月々の管理の為に記録してください</t>
  </si>
  <si>
    <t>有給履歴</t>
  </si>
  <si>
    <t>情報システム部</t>
  </si>
  <si>
    <t>有給</t>
  </si>
  <si>
    <t>業務情報</t>
  </si>
  <si>
    <t>プロジェクト名称</t>
  </si>
  <si>
    <t>勤務地（最寄駅）</t>
  </si>
  <si>
    <t>主業務内容</t>
  </si>
  <si>
    <t>年次有給休暇</t>
  </si>
  <si>
    <t>前年分繰越日数</t>
  </si>
  <si>
    <t>当年付与日数</t>
  </si>
  <si>
    <t>総支給日数</t>
  </si>
  <si>
    <t>作業現場規定就労時間</t>
  </si>
  <si>
    <t>勤続</t>
  </si>
  <si>
    <t>1年</t>
  </si>
  <si>
    <t>2年</t>
  </si>
  <si>
    <t>3年</t>
  </si>
  <si>
    <t>4年</t>
  </si>
  <si>
    <t>5年</t>
  </si>
  <si>
    <t>6年</t>
  </si>
  <si>
    <t>6月</t>
  </si>
  <si>
    <t>10日</t>
  </si>
  <si>
    <t>11日</t>
  </si>
  <si>
    <t>12日</t>
  </si>
  <si>
    <t>14日</t>
  </si>
  <si>
    <t>16日</t>
  </si>
  <si>
    <t>18日</t>
  </si>
  <si>
    <t>20日</t>
  </si>
  <si>
    <t>更新履歴</t>
  </si>
  <si>
    <t>Date</t>
  </si>
  <si>
    <t>Modify</t>
  </si>
  <si>
    <t>2008/3/ｘｘ</t>
  </si>
  <si>
    <t>新規作成</t>
  </si>
  <si>
    <t>休日時のセル色変更機能追加</t>
  </si>
  <si>
    <t>時間外出勤、休憩時間の自動出力機能追加</t>
  </si>
  <si>
    <t>※こういうのって大石さんが得意なんですよねー</t>
  </si>
  <si>
    <t>祝日設定フラグっぽいのを追加</t>
  </si>
  <si>
    <t>休憩時間の数式変更</t>
  </si>
  <si>
    <t>勤怠基本情報シートの追加、勤怠状況の追加</t>
  </si>
  <si>
    <t>鬼澤　啓太</t>
    <rPh sb="0" eb="1">
      <t>オニ</t>
    </rPh>
    <rPh sb="1" eb="2">
      <t>サワ</t>
    </rPh>
    <rPh sb="3" eb="5">
      <t>ケイタ</t>
    </rPh>
    <phoneticPr fontId="20"/>
  </si>
  <si>
    <t>A社保守</t>
    <rPh sb="1" eb="2">
      <t>シャ</t>
    </rPh>
    <rPh sb="2" eb="4">
      <t>ホシュ</t>
    </rPh>
    <phoneticPr fontId="20"/>
  </si>
  <si>
    <t>構成管理</t>
    <rPh sb="0" eb="2">
      <t>コウセイ</t>
    </rPh>
    <rPh sb="2" eb="4">
      <t>カンリ</t>
    </rPh>
    <phoneticPr fontId="20"/>
  </si>
  <si>
    <t>海浜幕張</t>
    <rPh sb="0" eb="2">
      <t>カイヒン</t>
    </rPh>
    <rPh sb="2" eb="4">
      <t>マクハリ</t>
    </rPh>
    <phoneticPr fontId="20"/>
  </si>
  <si>
    <t>祝日設定</t>
    <phoneticPr fontId="20"/>
  </si>
  <si>
    <t>2018/07/01付与</t>
    <phoneticPr fontId="20"/>
  </si>
  <si>
    <t>イノベーション事業部</t>
    <rPh sb="7" eb="9">
      <t>ジギョウ</t>
    </rPh>
    <rPh sb="9" eb="10">
      <t>ブ</t>
    </rPh>
    <phoneticPr fontId="20"/>
  </si>
  <si>
    <t>保守・開発</t>
    <rPh sb="0" eb="2">
      <t>ホシュ</t>
    </rPh>
    <rPh sb="3" eb="5">
      <t>カイハツ</t>
    </rPh>
    <phoneticPr fontId="20"/>
  </si>
  <si>
    <t>火</t>
  </si>
  <si>
    <t>水</t>
  </si>
  <si>
    <t>木</t>
  </si>
  <si>
    <t>金</t>
  </si>
  <si>
    <t>土</t>
  </si>
  <si>
    <t>月日</t>
  </si>
  <si>
    <t>祝日・休日名</t>
  </si>
  <si>
    <t>(月)</t>
  </si>
  <si>
    <t>元日</t>
  </si>
  <si>
    <t>成人の日</t>
  </si>
  <si>
    <t>(日)</t>
  </si>
  <si>
    <t>建国記念の日</t>
  </si>
  <si>
    <t>(水)</t>
  </si>
  <si>
    <t>春分の日</t>
  </si>
  <si>
    <t>昭和の日</t>
  </si>
  <si>
    <t>(木)</t>
  </si>
  <si>
    <t>憲法記念日</t>
  </si>
  <si>
    <t>(金)</t>
  </si>
  <si>
    <t>みどりの日</t>
  </si>
  <si>
    <t>(土)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</si>
  <si>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</si>
  <si>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</si>
  <si>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</si>
  <si>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</si>
  <si>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</si>
  <si>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</si>
  <si>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</si>
  <si>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</si>
  <si>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所属</t>
    <phoneticPr fontId="20"/>
  </si>
  <si>
    <t>No.</t>
  </si>
  <si>
    <t>(火)</t>
  </si>
  <si>
    <t>国民の休日</t>
  </si>
  <si>
    <t>即位の日</t>
  </si>
  <si>
    <t>振替休日</t>
  </si>
  <si>
    <t>即位礼正殿の儀</t>
  </si>
  <si>
    <t>1/14</t>
  </si>
  <si>
    <t>2/11</t>
  </si>
  <si>
    <t>3/21</t>
  </si>
  <si>
    <t>4/29</t>
  </si>
  <si>
    <t>4/30</t>
  </si>
  <si>
    <t>5/1</t>
  </si>
  <si>
    <t>5/2</t>
  </si>
  <si>
    <t>5/3</t>
  </si>
  <si>
    <t>5/4</t>
  </si>
  <si>
    <t>5/5</t>
  </si>
  <si>
    <t>5/6</t>
  </si>
  <si>
    <t>7/15</t>
  </si>
  <si>
    <t>8/11</t>
  </si>
  <si>
    <t>8/12</t>
  </si>
  <si>
    <t>9/16</t>
  </si>
  <si>
    <t>9/23</t>
  </si>
  <si>
    <t>10/14</t>
  </si>
  <si>
    <t>10/22</t>
  </si>
  <si>
    <t>11/3</t>
  </si>
  <si>
    <t>11/4</t>
  </si>
  <si>
    <t>11/23</t>
  </si>
  <si>
    <t>1/1</t>
    <phoneticPr fontId="20"/>
  </si>
  <si>
    <t>※一年に一度最新化する(月日の書式が文字列になっていること。日付だとうまく動きません)</t>
    <rPh sb="1" eb="3">
      <t>イチネン</t>
    </rPh>
    <rPh sb="4" eb="6">
      <t>イチド</t>
    </rPh>
    <rPh sb="6" eb="8">
      <t>サイシン</t>
    </rPh>
    <rPh sb="8" eb="9">
      <t>カ</t>
    </rPh>
    <rPh sb="12" eb="14">
      <t>ツキヒ</t>
    </rPh>
    <rPh sb="15" eb="17">
      <t>ショシキ</t>
    </rPh>
    <rPh sb="18" eb="21">
      <t>モジレツ</t>
    </rPh>
    <rPh sb="30" eb="32">
      <t>ヒヅケ</t>
    </rPh>
    <rPh sb="37" eb="38">
      <t>ウゴ</t>
    </rPh>
    <phoneticPr fontId="20"/>
  </si>
  <si>
    <t>参考サイト：http://koyomi.vis.ne.jp/sub/syukujitsu_table.htm</t>
    <rPh sb="0" eb="2">
      <t>サンコウ</t>
    </rPh>
    <phoneticPr fontId="20"/>
  </si>
  <si>
    <t>○</t>
  </si>
  <si>
    <t>入力値</t>
    <rPh sb="0" eb="3">
      <t>ニュウリョクチ</t>
    </rPh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</si>
</sst>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d"/>
    <numFmt numFmtId="177" formatCode="aaa"/>
    <numFmt numFmtId="178" formatCode="[h]:mm"/>
    <numFmt numFmtId="179" formatCode="yyyy/mm"/>
    <numFmt numFmtId="180" formatCode="0.0_ "/>
    <numFmt numFmtId="181" formatCode="0.0_);[Red]\(0.0\)"/>
    <numFmt numFmtId="182" formatCode="yyyy&quot;年&quot;m&quot;月&quot;;@"/>
  </numFmts>
  <fonts count="25"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6"/>
      <color indexed="9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10"/>
      <color indexed="13"/>
      <name val="ＭＳ Ｐゴシック"/>
      <family val="3"/>
      <charset val="128"/>
    </font>
    <font>
      <sz val="9"/>
      <name val="ＭＳ Ｐゴシック"/>
      <family val="3"/>
      <charset val="128"/>
    </font>
    <font>
      <sz val="10.5"/>
      <name val="ＭＳ 明朝"/>
      <family val="1"/>
      <charset val="128"/>
    </font>
    <font>
      <sz val="11"/>
      <color indexed="10"/>
      <name val="ＭＳ Ｐゴシック"/>
      <family val="3"/>
      <charset val="128"/>
    </font>
    <font>
      <b/>
      <u/>
      <sz val="2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name val="ＭＳ Ｐゴシック"/>
      <family val="3"/>
      <charset val="134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indexed="8"/>
      <name val="Meiryo"/>
      <family val="3"/>
      <charset val="128"/>
    </font>
    <font>
      <sz val="11"/>
      <color indexed="8"/>
      <name val="Meiryo"/>
      <family val="3"/>
      <charset val="128"/>
    </font>
    <font>
      <u/>
      <sz val="11"/>
      <color theme="10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D08F"/>
        <bgColor indexed="64"/>
      </patternFill>
    </fill>
    <fill>
      <patternFill patternType="solid">
        <fgColor rgb="FFF4A2DE"/>
        <bgColor indexed="64"/>
      </patternFill>
    </fill>
    <fill>
      <patternFill patternType="solid">
        <fgColor rgb="FFFFFFDD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26">
    <xf numFmtId="0" fontId="0" fillId="0" borderId="0" xfId="0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3" fillId="2" borderId="0" xfId="0" applyNumberFormat="1" applyFont="1" applyFill="1" applyBorder="1" applyAlignment="1" applyProtection="1">
      <alignment horizontal="centerContinuous" vertical="center"/>
    </xf>
    <xf numFmtId="0" fontId="4" fillId="2" borderId="0" xfId="0" applyNumberFormat="1" applyFont="1" applyFill="1" applyBorder="1" applyAlignment="1" applyProtection="1">
      <alignment horizontal="centerContinuous" vertical="center"/>
    </xf>
    <xf numFmtId="0" fontId="4" fillId="2" borderId="0" xfId="0" applyNumberFormat="1" applyFont="1" applyFill="1" applyBorder="1" applyAlignment="1" applyProtection="1">
      <alignment horizontal="right" vertical="center"/>
    </xf>
    <xf numFmtId="0" fontId="5" fillId="3" borderId="1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vertical="center"/>
    </xf>
    <xf numFmtId="55" fontId="7" fillId="0" borderId="0" xfId="0" applyNumberFormat="1" applyFont="1" applyFill="1" applyBorder="1" applyAlignment="1" applyProtection="1">
      <alignment horizontal="left" vertical="center"/>
    </xf>
    <xf numFmtId="55" fontId="8" fillId="0" borderId="0" xfId="0" applyNumberFormat="1" applyFont="1" applyFill="1" applyBorder="1" applyAlignment="1" applyProtection="1">
      <alignment horizontal="center" vertical="center"/>
    </xf>
    <xf numFmtId="20" fontId="5" fillId="0" borderId="0" xfId="0" applyNumberFormat="1" applyFont="1" applyFill="1" applyBorder="1" applyAlignment="1" applyProtection="1">
      <alignment horizontal="left" vertical="center"/>
    </xf>
    <xf numFmtId="14" fontId="5" fillId="0" borderId="0" xfId="0" applyNumberFormat="1" applyFont="1" applyFill="1" applyBorder="1" applyAlignment="1" applyProtection="1">
      <alignment horizontal="left" vertical="center"/>
    </xf>
    <xf numFmtId="55" fontId="5" fillId="0" borderId="0" xfId="0" applyNumberFormat="1" applyFont="1" applyFill="1" applyBorder="1" applyAlignment="1" applyProtection="1">
      <alignment horizontal="left" vertical="center"/>
    </xf>
    <xf numFmtId="55" fontId="5" fillId="0" borderId="0" xfId="0" applyNumberFormat="1" applyFont="1" applyFill="1" applyBorder="1" applyAlignment="1" applyProtection="1">
      <alignment horizontal="right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5" fillId="0" borderId="2" xfId="0" applyNumberFormat="1" applyFont="1" applyFill="1" applyBorder="1" applyAlignment="1" applyProtection="1">
      <alignment horizontal="left" vertical="center"/>
    </xf>
    <xf numFmtId="55" fontId="9" fillId="0" borderId="0" xfId="0" applyNumberFormat="1" applyFont="1" applyFill="1" applyBorder="1" applyAlignment="1" applyProtection="1">
      <alignment horizontal="center" vertical="center"/>
    </xf>
    <xf numFmtId="0" fontId="5" fillId="0" borderId="3" xfId="0" applyNumberFormat="1" applyFont="1" applyFill="1" applyBorder="1" applyAlignment="1" applyProtection="1">
      <alignment vertical="center"/>
    </xf>
    <xf numFmtId="0" fontId="5" fillId="0" borderId="4" xfId="0" applyNumberFormat="1" applyFont="1" applyFill="1" applyBorder="1" applyAlignment="1" applyProtection="1">
      <alignment vertical="center"/>
    </xf>
    <xf numFmtId="0" fontId="5" fillId="0" borderId="5" xfId="0" applyNumberFormat="1" applyFont="1" applyFill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left" vertical="center"/>
    </xf>
    <xf numFmtId="0" fontId="5" fillId="0" borderId="6" xfId="0" applyNumberFormat="1" applyFont="1" applyFill="1" applyBorder="1" applyAlignment="1" applyProtection="1">
      <alignment vertical="center"/>
    </xf>
    <xf numFmtId="0" fontId="5" fillId="0" borderId="7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55" fontId="5" fillId="0" borderId="2" xfId="0" applyNumberFormat="1" applyFont="1" applyFill="1" applyBorder="1" applyAlignment="1" applyProtection="1">
      <alignment horizontal="left" vertical="center"/>
    </xf>
    <xf numFmtId="0" fontId="5" fillId="0" borderId="8" xfId="0" applyNumberFormat="1" applyFont="1" applyFill="1" applyBorder="1" applyAlignment="1" applyProtection="1">
      <alignment vertical="center"/>
    </xf>
    <xf numFmtId="0" fontId="5" fillId="0" borderId="9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11" fillId="2" borderId="1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5" fillId="0" borderId="1" xfId="0" applyNumberFormat="1" applyFont="1" applyFill="1" applyBorder="1" applyAlignment="1" applyProtection="1">
      <alignment horizontal="center" vertical="center"/>
    </xf>
    <xf numFmtId="0" fontId="14" fillId="5" borderId="17" xfId="0" applyNumberFormat="1" applyFont="1" applyFill="1" applyBorder="1" applyAlignment="1" applyProtection="1">
      <alignment horizontal="right" vertical="center"/>
    </xf>
    <xf numFmtId="178" fontId="0" fillId="5" borderId="17" xfId="0" applyNumberFormat="1" applyFont="1" applyFill="1" applyBorder="1" applyAlignment="1" applyProtection="1">
      <alignment horizontal="center" vertical="center"/>
    </xf>
    <xf numFmtId="178" fontId="14" fillId="5" borderId="17" xfId="0" applyNumberFormat="1" applyFont="1" applyFill="1" applyBorder="1" applyAlignment="1" applyProtection="1">
      <alignment horizontal="center" vertical="center"/>
    </xf>
    <xf numFmtId="178" fontId="5" fillId="5" borderId="17" xfId="0" applyNumberFormat="1" applyFont="1" applyFill="1" applyBorder="1" applyAlignment="1" applyProtection="1">
      <alignment horizontal="center" vertical="center"/>
    </xf>
    <xf numFmtId="0" fontId="14" fillId="0" borderId="18" xfId="0" applyNumberFormat="1" applyFont="1" applyFill="1" applyBorder="1" applyAlignment="1" applyProtection="1">
      <alignment horizontal="right" vertical="center"/>
    </xf>
    <xf numFmtId="178" fontId="0" fillId="0" borderId="18" xfId="0" applyNumberFormat="1" applyFont="1" applyFill="1" applyBorder="1" applyAlignment="1" applyProtection="1">
      <alignment horizontal="center" vertical="center"/>
    </xf>
    <xf numFmtId="178" fontId="0" fillId="0" borderId="0" xfId="0" applyNumberFormat="1" applyFont="1" applyFill="1" applyBorder="1" applyAlignment="1" applyProtection="1">
      <alignment horizontal="center" vertical="center"/>
    </xf>
    <xf numFmtId="0" fontId="14" fillId="6" borderId="19" xfId="0" applyNumberFormat="1" applyFont="1" applyFill="1" applyBorder="1" applyAlignment="1" applyProtection="1">
      <alignment horizontal="center" vertical="center"/>
    </xf>
    <xf numFmtId="0" fontId="5" fillId="6" borderId="19" xfId="0" applyNumberFormat="1" applyFont="1" applyFill="1" applyBorder="1" applyAlignment="1" applyProtection="1">
      <alignment vertical="center"/>
    </xf>
    <xf numFmtId="0" fontId="14" fillId="0" borderId="0" xfId="0" applyNumberFormat="1" applyFont="1" applyFill="1" applyBorder="1" applyAlignment="1" applyProtection="1">
      <alignment horizontal="left" vertical="center"/>
    </xf>
    <xf numFmtId="0" fontId="0" fillId="7" borderId="3" xfId="0" applyNumberFormat="1" applyFont="1" applyFill="1" applyBorder="1" applyAlignment="1" applyProtection="1">
      <alignment vertical="center"/>
    </xf>
    <xf numFmtId="0" fontId="0" fillId="7" borderId="20" xfId="0" applyNumberFormat="1" applyFont="1" applyFill="1" applyBorder="1" applyAlignment="1" applyProtection="1">
      <alignment vertical="center"/>
    </xf>
    <xf numFmtId="0" fontId="0" fillId="7" borderId="6" xfId="0" applyNumberFormat="1" applyFont="1" applyFill="1" applyBorder="1" applyAlignment="1" applyProtection="1">
      <alignment vertical="center"/>
    </xf>
    <xf numFmtId="0" fontId="0" fillId="3" borderId="8" xfId="0" applyNumberFormat="1" applyFont="1" applyFill="1" applyBorder="1" applyAlignment="1" applyProtection="1">
      <alignment vertical="center"/>
    </xf>
    <xf numFmtId="0" fontId="0" fillId="0" borderId="1" xfId="0" applyNumberFormat="1" applyFont="1" applyFill="1" applyBorder="1" applyAlignment="1" applyProtection="1">
      <alignment vertical="center"/>
    </xf>
    <xf numFmtId="0" fontId="0" fillId="0" borderId="20" xfId="0" applyNumberFormat="1" applyFont="1" applyFill="1" applyBorder="1" applyAlignment="1" applyProtection="1">
      <alignment vertical="center"/>
    </xf>
    <xf numFmtId="0" fontId="0" fillId="0" borderId="21" xfId="0" applyNumberFormat="1" applyFont="1" applyFill="1" applyBorder="1" applyAlignment="1" applyProtection="1">
      <alignment vertical="center"/>
    </xf>
    <xf numFmtId="0" fontId="0" fillId="7" borderId="8" xfId="0" applyNumberFormat="1" applyFont="1" applyFill="1" applyBorder="1" applyAlignment="1" applyProtection="1">
      <alignment vertical="center"/>
    </xf>
    <xf numFmtId="0" fontId="0" fillId="3" borderId="22" xfId="0" applyNumberFormat="1" applyFont="1" applyFill="1" applyBorder="1" applyAlignment="1" applyProtection="1">
      <alignment vertical="center"/>
    </xf>
    <xf numFmtId="0" fontId="0" fillId="0" borderId="22" xfId="0" applyNumberFormat="1" applyFont="1" applyFill="1" applyBorder="1" applyAlignment="1" applyProtection="1">
      <alignment vertical="center"/>
    </xf>
    <xf numFmtId="0" fontId="0" fillId="7" borderId="5" xfId="0" applyNumberFormat="1" applyFont="1" applyFill="1" applyBorder="1" applyAlignment="1" applyProtection="1">
      <alignment vertical="center"/>
    </xf>
    <xf numFmtId="0" fontId="2" fillId="3" borderId="22" xfId="0" applyNumberFormat="1" applyFont="1" applyFill="1" applyBorder="1" applyAlignment="1" applyProtection="1">
      <alignment vertical="center"/>
    </xf>
    <xf numFmtId="0" fontId="0" fillId="7" borderId="18" xfId="0" applyNumberFormat="1" applyFont="1" applyFill="1" applyBorder="1" applyAlignment="1" applyProtection="1">
      <alignment vertical="center"/>
    </xf>
    <xf numFmtId="0" fontId="0" fillId="7" borderId="4" xfId="0" applyNumberFormat="1" applyFont="1" applyFill="1" applyBorder="1" applyAlignment="1" applyProtection="1">
      <alignment vertical="center"/>
    </xf>
    <xf numFmtId="0" fontId="2" fillId="3" borderId="1" xfId="0" applyNumberFormat="1" applyFont="1" applyFill="1" applyBorder="1" applyAlignment="1" applyProtection="1">
      <alignment vertical="center"/>
    </xf>
    <xf numFmtId="0" fontId="0" fillId="5" borderId="1" xfId="0" applyNumberFormat="1" applyFont="1" applyFill="1" applyBorder="1" applyAlignment="1" applyProtection="1">
      <alignment vertical="center"/>
    </xf>
    <xf numFmtId="179" fontId="0" fillId="0" borderId="1" xfId="0" applyNumberFormat="1" applyFont="1" applyFill="1" applyBorder="1" applyAlignment="1" applyProtection="1">
      <alignment vertical="center"/>
    </xf>
    <xf numFmtId="0" fontId="2" fillId="7" borderId="3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7" borderId="22" xfId="0" applyNumberFormat="1" applyFont="1" applyFill="1" applyBorder="1" applyAlignment="1" applyProtection="1">
      <alignment vertical="center"/>
    </xf>
    <xf numFmtId="0" fontId="2" fillId="7" borderId="22" xfId="0" applyNumberFormat="1" applyFont="1" applyFill="1" applyBorder="1" applyAlignment="1" applyProtection="1">
      <alignment vertical="center"/>
    </xf>
    <xf numFmtId="179" fontId="0" fillId="3" borderId="22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horizontal="left" vertical="center"/>
    </xf>
    <xf numFmtId="0" fontId="7" fillId="7" borderId="1" xfId="0" applyNumberFormat="1" applyFont="1" applyFill="1" applyBorder="1" applyAlignment="1" applyProtection="1">
      <alignment horizontal="left" vertical="center"/>
    </xf>
    <xf numFmtId="0" fontId="7" fillId="7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Fill="1" applyBorder="1" applyAlignment="1" applyProtection="1">
      <alignment horizontal="left" vertical="center"/>
    </xf>
    <xf numFmtId="14" fontId="0" fillId="0" borderId="23" xfId="0" applyNumberFormat="1" applyFont="1" applyFill="1" applyBorder="1" applyAlignment="1" applyProtection="1">
      <alignment horizontal="left" vertical="center"/>
    </xf>
    <xf numFmtId="0" fontId="0" fillId="0" borderId="23" xfId="0" applyNumberFormat="1" applyFont="1" applyFill="1" applyBorder="1" applyAlignment="1" applyProtection="1">
      <alignment vertical="center"/>
    </xf>
    <xf numFmtId="0" fontId="0" fillId="0" borderId="5" xfId="0" applyNumberFormat="1" applyFont="1" applyFill="1" applyBorder="1" applyAlignment="1" applyProtection="1">
      <alignment horizontal="left" vertical="center"/>
    </xf>
    <xf numFmtId="0" fontId="0" fillId="0" borderId="5" xfId="0" applyNumberFormat="1" applyFont="1" applyFill="1" applyBorder="1" applyAlignment="1" applyProtection="1">
      <alignment vertical="center"/>
    </xf>
    <xf numFmtId="0" fontId="0" fillId="0" borderId="17" xfId="0" applyNumberFormat="1" applyFont="1" applyFill="1" applyBorder="1" applyAlignment="1" applyProtection="1">
      <alignment horizontal="left" vertical="center"/>
    </xf>
    <xf numFmtId="0" fontId="0" fillId="0" borderId="17" xfId="0" applyNumberFormat="1" applyFont="1" applyFill="1" applyBorder="1" applyAlignment="1" applyProtection="1">
      <alignment vertical="center"/>
    </xf>
    <xf numFmtId="14" fontId="0" fillId="0" borderId="1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178" fontId="5" fillId="5" borderId="19" xfId="0" applyNumberFormat="1" applyFont="1" applyFill="1" applyBorder="1" applyAlignment="1" applyProtection="1">
      <alignment horizontal="center" vertical="center"/>
    </xf>
    <xf numFmtId="181" fontId="0" fillId="5" borderId="19" xfId="0" applyNumberFormat="1" applyFont="1" applyFill="1" applyBorder="1" applyAlignment="1" applyProtection="1">
      <alignment horizontal="center" vertical="center"/>
    </xf>
    <xf numFmtId="178" fontId="0" fillId="5" borderId="19" xfId="0" applyNumberFormat="1" applyFont="1" applyFill="1" applyBorder="1" applyAlignment="1" applyProtection="1">
      <alignment horizontal="center" vertical="center"/>
    </xf>
    <xf numFmtId="181" fontId="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0" fillId="7" borderId="17" xfId="0" applyNumberFormat="1" applyFont="1" applyFill="1" applyBorder="1" applyAlignment="1" applyProtection="1">
      <alignment vertical="center"/>
    </xf>
    <xf numFmtId="20" fontId="4" fillId="0" borderId="1" xfId="0" applyNumberFormat="1" applyFont="1" applyFill="1" applyBorder="1" applyAlignment="1" applyProtection="1">
      <alignment horizontal="left" vertical="center"/>
    </xf>
    <xf numFmtId="0" fontId="15" fillId="5" borderId="24" xfId="0" applyNumberFormat="1" applyFont="1" applyFill="1" applyBorder="1" applyAlignment="1" applyProtection="1">
      <alignment horizontal="center" vertical="center" wrapText="1"/>
    </xf>
    <xf numFmtId="0" fontId="15" fillId="5" borderId="25" xfId="0" applyNumberFormat="1" applyFont="1" applyFill="1" applyBorder="1" applyAlignment="1" applyProtection="1">
      <alignment horizontal="center" vertical="center" wrapText="1"/>
    </xf>
    <xf numFmtId="0" fontId="15" fillId="5" borderId="26" xfId="0" applyNumberFormat="1" applyFont="1" applyFill="1" applyBorder="1" applyAlignment="1" applyProtection="1">
      <alignment horizontal="center" vertical="center" wrapText="1"/>
    </xf>
    <xf numFmtId="0" fontId="15" fillId="5" borderId="27" xfId="0" applyNumberFormat="1" applyFont="1" applyFill="1" applyBorder="1" applyAlignment="1" applyProtection="1">
      <alignment horizontal="center" vertical="center" wrapText="1"/>
    </xf>
    <xf numFmtId="0" fontId="2" fillId="0" borderId="1" xfId="1" applyBorder="1">
      <alignment vertical="center"/>
    </xf>
    <xf numFmtId="0" fontId="0" fillId="5" borderId="28" xfId="0" applyNumberFormat="1" applyFont="1" applyFill="1" applyBorder="1" applyAlignment="1" applyProtection="1">
      <alignment horizontal="center" vertical="center"/>
    </xf>
    <xf numFmtId="0" fontId="0" fillId="5" borderId="29" xfId="0" applyNumberFormat="1" applyFont="1" applyFill="1" applyBorder="1" applyAlignment="1" applyProtection="1">
      <alignment horizontal="center" vertical="center"/>
    </xf>
    <xf numFmtId="0" fontId="0" fillId="5" borderId="30" xfId="0" applyNumberFormat="1" applyFont="1" applyFill="1" applyBorder="1" applyAlignment="1" applyProtection="1">
      <alignment horizontal="center" vertical="center"/>
    </xf>
    <xf numFmtId="0" fontId="14" fillId="0" borderId="7" xfId="0" applyNumberFormat="1" applyFont="1" applyFill="1" applyBorder="1" applyAlignment="1" applyProtection="1">
      <alignment horizontal="center" vertical="center"/>
    </xf>
    <xf numFmtId="0" fontId="11" fillId="0" borderId="7" xfId="0" applyNumberFormat="1" applyFont="1" applyFill="1" applyBorder="1" applyAlignment="1" applyProtection="1">
      <alignment horizontal="center" vertical="center"/>
    </xf>
    <xf numFmtId="0" fontId="5" fillId="0" borderId="21" xfId="0" applyNumberFormat="1" applyFont="1" applyFill="1" applyBorder="1" applyAlignment="1" applyProtection="1">
      <alignment horizontal="center" vertical="center"/>
    </xf>
    <xf numFmtId="0" fontId="5" fillId="0" borderId="22" xfId="0" applyNumberFormat="1" applyFont="1" applyFill="1" applyBorder="1" applyAlignment="1" applyProtection="1">
      <alignment horizontal="center" vertical="center"/>
    </xf>
    <xf numFmtId="0" fontId="11" fillId="2" borderId="17" xfId="0" applyNumberFormat="1" applyFont="1" applyFill="1" applyBorder="1" applyAlignment="1" applyProtection="1">
      <alignment horizontal="center" vertical="center" wrapText="1"/>
    </xf>
    <xf numFmtId="0" fontId="11" fillId="2" borderId="17" xfId="0" applyNumberFormat="1" applyFont="1" applyFill="1" applyBorder="1" applyAlignment="1" applyProtection="1">
      <alignment horizontal="center" vertical="center"/>
    </xf>
    <xf numFmtId="0" fontId="11" fillId="2" borderId="34" xfId="0" applyNumberFormat="1" applyFont="1" applyFill="1" applyBorder="1" applyAlignment="1" applyProtection="1">
      <alignment horizontal="center" vertical="center"/>
    </xf>
    <xf numFmtId="0" fontId="11" fillId="2" borderId="35" xfId="0" applyNumberFormat="1" applyFont="1" applyFill="1" applyBorder="1" applyAlignment="1" applyProtection="1">
      <alignment horizontal="center" vertical="center"/>
    </xf>
    <xf numFmtId="0" fontId="11" fillId="2" borderId="36" xfId="0" applyNumberFormat="1" applyFont="1" applyFill="1" applyBorder="1" applyAlignment="1" applyProtection="1">
      <alignment horizontal="center" vertical="center"/>
    </xf>
    <xf numFmtId="0" fontId="2" fillId="7" borderId="1" xfId="0" applyNumberFormat="1" applyFont="1" applyFill="1" applyBorder="1" applyAlignment="1" applyProtection="1">
      <alignment vertical="center"/>
    </xf>
    <xf numFmtId="0" fontId="5" fillId="0" borderId="20" xfId="0" applyNumberFormat="1" applyFont="1" applyFill="1" applyBorder="1" applyAlignment="1" applyProtection="1">
      <alignment horizontal="center" vertical="center"/>
    </xf>
    <xf numFmtId="0" fontId="1" fillId="0" borderId="1" xfId="2" applyFont="1" applyBorder="1">
      <alignment vertical="center"/>
    </xf>
    <xf numFmtId="0" fontId="0" fillId="0" borderId="22" xfId="0" applyNumberFormat="1" applyFill="1" applyBorder="1" applyAlignment="1" applyProtection="1">
      <alignment vertical="center"/>
    </xf>
    <xf numFmtId="0" fontId="1" fillId="0" borderId="22" xfId="0" applyNumberFormat="1" applyFont="1" applyFill="1" applyBorder="1" applyAlignment="1" applyProtection="1">
      <alignment vertical="center"/>
    </xf>
    <xf numFmtId="0" fontId="1" fillId="0" borderId="1" xfId="1" applyFont="1" applyBorder="1">
      <alignment vertical="center"/>
    </xf>
    <xf numFmtId="0" fontId="0" fillId="9" borderId="1" xfId="0" applyNumberFormat="1" applyFont="1" applyFill="1" applyBorder="1" applyAlignment="1" applyProtection="1">
      <alignment vertical="center"/>
    </xf>
    <xf numFmtId="176" fontId="14" fillId="10" borderId="42" xfId="0" applyNumberFormat="1" applyFont="1" applyFill="1" applyBorder="1" applyAlignment="1" applyProtection="1">
      <alignment horizontal="center" vertical="center"/>
    </xf>
    <xf numFmtId="177" fontId="14" fillId="10" borderId="42" xfId="0" applyNumberFormat="1" applyFont="1" applyFill="1" applyBorder="1" applyAlignment="1" applyProtection="1">
      <alignment horizontal="center" vertical="center"/>
    </xf>
    <xf numFmtId="20" fontId="18" fillId="10" borderId="43" xfId="0" applyNumberFormat="1" applyFont="1" applyFill="1" applyBorder="1" applyAlignment="1" applyProtection="1">
      <alignment horizontal="center" vertical="center"/>
    </xf>
    <xf numFmtId="20" fontId="14" fillId="10" borderId="43" xfId="0" applyNumberFormat="1" applyFont="1" applyFill="1" applyBorder="1" applyAlignment="1" applyProtection="1">
      <alignment horizontal="center" vertical="center"/>
    </xf>
    <xf numFmtId="20" fontId="14" fillId="10" borderId="42" xfId="0" applyNumberFormat="1" applyFont="1" applyFill="1" applyBorder="1" applyAlignment="1" applyProtection="1">
      <alignment horizontal="center" vertical="center"/>
    </xf>
    <xf numFmtId="20" fontId="14" fillId="10" borderId="45" xfId="0" applyNumberFormat="1" applyFont="1" applyFill="1" applyBorder="1" applyAlignment="1" applyProtection="1">
      <alignment horizontal="center" vertical="center"/>
    </xf>
    <xf numFmtId="0" fontId="14" fillId="10" borderId="40" xfId="0" applyNumberFormat="1" applyFont="1" applyFill="1" applyBorder="1" applyAlignment="1" applyProtection="1">
      <alignment vertical="center"/>
    </xf>
    <xf numFmtId="0" fontId="14" fillId="10" borderId="39" xfId="0" applyNumberFormat="1" applyFont="1" applyFill="1" applyBorder="1" applyAlignment="1" applyProtection="1">
      <alignment vertical="center"/>
    </xf>
    <xf numFmtId="20" fontId="14" fillId="12" borderId="44" xfId="0" applyNumberFormat="1" applyFont="1" applyFill="1" applyBorder="1" applyAlignment="1">
      <alignment horizontal="center" vertical="center"/>
    </xf>
    <xf numFmtId="20" fontId="14" fillId="12" borderId="14" xfId="0" applyNumberFormat="1" applyFont="1" applyFill="1" applyBorder="1" applyAlignment="1">
      <alignment horizontal="center" vertical="center"/>
    </xf>
    <xf numFmtId="20" fontId="14" fillId="12" borderId="11" xfId="0" applyNumberFormat="1" applyFont="1" applyFill="1" applyBorder="1" applyAlignment="1">
      <alignment horizontal="center" vertical="center"/>
    </xf>
    <xf numFmtId="20" fontId="14" fillId="12" borderId="43" xfId="0" applyNumberFormat="1" applyFont="1" applyFill="1" applyBorder="1" applyAlignment="1">
      <alignment horizontal="center" vertical="center"/>
    </xf>
    <xf numFmtId="20" fontId="14" fillId="12" borderId="42" xfId="0" applyNumberFormat="1" applyFont="1" applyFill="1" applyBorder="1" applyAlignment="1">
      <alignment horizontal="center" vertical="center"/>
    </xf>
    <xf numFmtId="20" fontId="5" fillId="12" borderId="42" xfId="0" applyNumberFormat="1" applyFont="1" applyFill="1" applyBorder="1" applyAlignment="1">
      <alignment horizontal="center" vertical="center"/>
    </xf>
    <xf numFmtId="176" fontId="14" fillId="10" borderId="11" xfId="0" applyNumberFormat="1" applyFont="1" applyFill="1" applyBorder="1" applyAlignment="1" applyProtection="1">
      <alignment horizontal="center" vertical="center"/>
    </xf>
    <xf numFmtId="177" fontId="14" fillId="10" borderId="11" xfId="0" applyNumberFormat="1" applyFont="1" applyFill="1" applyBorder="1" applyAlignment="1" applyProtection="1">
      <alignment horizontal="center" vertical="center"/>
    </xf>
    <xf numFmtId="20" fontId="14" fillId="10" borderId="11" xfId="0" applyNumberFormat="1" applyFont="1" applyFill="1" applyBorder="1" applyAlignment="1" applyProtection="1">
      <alignment horizontal="center" vertical="center"/>
    </xf>
    <xf numFmtId="20" fontId="14" fillId="10" borderId="12" xfId="0" applyNumberFormat="1" applyFont="1" applyFill="1" applyBorder="1" applyAlignment="1" applyProtection="1">
      <alignment horizontal="center" vertical="center"/>
    </xf>
    <xf numFmtId="20" fontId="14" fillId="10" borderId="13" xfId="0" applyNumberFormat="1" applyFont="1" applyFill="1" applyBorder="1" applyAlignment="1" applyProtection="1">
      <alignment horizontal="center" vertical="center"/>
    </xf>
    <xf numFmtId="0" fontId="14" fillId="10" borderId="15" xfId="0" applyNumberFormat="1" applyFont="1" applyFill="1" applyBorder="1" applyAlignment="1" applyProtection="1">
      <alignment vertical="center"/>
    </xf>
    <xf numFmtId="0" fontId="14" fillId="10" borderId="16" xfId="0" applyNumberFormat="1" applyFont="1" applyFill="1" applyBorder="1" applyAlignment="1" applyProtection="1">
      <alignment vertical="center"/>
    </xf>
    <xf numFmtId="14" fontId="14" fillId="10" borderId="16" xfId="0" applyNumberFormat="1" applyFont="1" applyFill="1" applyBorder="1" applyAlignment="1" applyProtection="1">
      <alignment vertical="center"/>
    </xf>
    <xf numFmtId="0" fontId="14" fillId="10" borderId="38" xfId="0" applyNumberFormat="1" applyFont="1" applyFill="1" applyBorder="1" applyAlignment="1" applyProtection="1">
      <alignment vertical="center"/>
    </xf>
    <xf numFmtId="20" fontId="14" fillId="12" borderId="11" xfId="0" applyNumberFormat="1" applyFont="1" applyFill="1" applyBorder="1" applyAlignment="1" applyProtection="1">
      <alignment horizontal="center" vertical="center"/>
    </xf>
    <xf numFmtId="20" fontId="5" fillId="12" borderId="11" xfId="0" applyNumberFormat="1" applyFont="1" applyFill="1" applyBorder="1" applyAlignment="1" applyProtection="1">
      <alignment horizontal="center" vertical="center"/>
    </xf>
    <xf numFmtId="176" fontId="14" fillId="13" borderId="11" xfId="0" applyNumberFormat="1" applyFont="1" applyFill="1" applyBorder="1" applyAlignment="1" applyProtection="1">
      <alignment horizontal="center" vertical="center"/>
    </xf>
    <xf numFmtId="177" fontId="14" fillId="13" borderId="11" xfId="0" applyNumberFormat="1" applyFont="1" applyFill="1" applyBorder="1" applyAlignment="1" applyProtection="1">
      <alignment horizontal="center" vertical="center"/>
    </xf>
    <xf numFmtId="20" fontId="18" fillId="13" borderId="43" xfId="0" applyNumberFormat="1" applyFont="1" applyFill="1" applyBorder="1" applyAlignment="1" applyProtection="1">
      <alignment horizontal="center" vertical="center"/>
    </xf>
    <xf numFmtId="20" fontId="14" fillId="13" borderId="43" xfId="0" applyNumberFormat="1" applyFont="1" applyFill="1" applyBorder="1" applyAlignment="1" applyProtection="1">
      <alignment horizontal="center" vertical="center"/>
    </xf>
    <xf numFmtId="20" fontId="14" fillId="13" borderId="11" xfId="0" applyNumberFormat="1" applyFont="1" applyFill="1" applyBorder="1" applyAlignment="1" applyProtection="1">
      <alignment horizontal="center" vertical="center"/>
    </xf>
    <xf numFmtId="20" fontId="14" fillId="13" borderId="12" xfId="0" applyNumberFormat="1" applyFont="1" applyFill="1" applyBorder="1" applyAlignment="1" applyProtection="1">
      <alignment horizontal="center" vertical="center"/>
    </xf>
    <xf numFmtId="20" fontId="14" fillId="13" borderId="13" xfId="0" applyNumberFormat="1" applyFont="1" applyFill="1" applyBorder="1" applyAlignment="1" applyProtection="1">
      <alignment horizontal="center" vertical="center"/>
    </xf>
    <xf numFmtId="20" fontId="5" fillId="13" borderId="11" xfId="0" applyNumberFormat="1" applyFont="1" applyFill="1" applyBorder="1" applyAlignment="1" applyProtection="1">
      <alignment horizontal="center" vertical="center"/>
    </xf>
    <xf numFmtId="0" fontId="14" fillId="13" borderId="15" xfId="0" applyNumberFormat="1" applyFont="1" applyFill="1" applyBorder="1" applyAlignment="1" applyProtection="1">
      <alignment vertical="center"/>
    </xf>
    <xf numFmtId="0" fontId="14" fillId="13" borderId="16" xfId="0" applyNumberFormat="1" applyFont="1" applyFill="1" applyBorder="1" applyAlignment="1" applyProtection="1">
      <alignment vertical="center"/>
    </xf>
    <xf numFmtId="0" fontId="14" fillId="13" borderId="38" xfId="0" applyNumberFormat="1" applyFont="1" applyFill="1" applyBorder="1" applyAlignment="1" applyProtection="1">
      <alignment vertical="center"/>
    </xf>
    <xf numFmtId="20" fontId="18" fillId="10" borderId="11" xfId="0" applyNumberFormat="1" applyFont="1" applyFill="1" applyBorder="1" applyAlignment="1" applyProtection="1">
      <alignment horizontal="center" vertical="center"/>
    </xf>
    <xf numFmtId="20" fontId="18" fillId="10" borderId="12" xfId="0" applyNumberFormat="1" applyFont="1" applyFill="1" applyBorder="1" applyAlignment="1" applyProtection="1">
      <alignment horizontal="center" vertical="center"/>
    </xf>
    <xf numFmtId="20" fontId="18" fillId="10" borderId="13" xfId="0" applyNumberFormat="1" applyFont="1" applyFill="1" applyBorder="1" applyAlignment="1" applyProtection="1">
      <alignment horizontal="center" vertical="center"/>
    </xf>
    <xf numFmtId="0" fontId="18" fillId="10" borderId="16" xfId="0" applyNumberFormat="1" applyFont="1" applyFill="1" applyBorder="1" applyAlignment="1" applyProtection="1">
      <alignment vertical="center"/>
    </xf>
    <xf numFmtId="0" fontId="18" fillId="10" borderId="38" xfId="0" applyNumberFormat="1" applyFont="1" applyFill="1" applyBorder="1" applyAlignment="1" applyProtection="1">
      <alignment vertical="center"/>
    </xf>
    <xf numFmtId="20" fontId="18" fillId="13" borderId="11" xfId="0" applyNumberFormat="1" applyFont="1" applyFill="1" applyBorder="1" applyAlignment="1" applyProtection="1">
      <alignment horizontal="center" vertical="center"/>
    </xf>
    <xf numFmtId="0" fontId="18" fillId="10" borderId="15" xfId="0" applyNumberFormat="1" applyFont="1" applyFill="1" applyBorder="1" applyAlignment="1" applyProtection="1">
      <alignment vertical="center"/>
    </xf>
    <xf numFmtId="20" fontId="14" fillId="10" borderId="16" xfId="0" applyNumberFormat="1" applyFont="1" applyFill="1" applyBorder="1" applyAlignment="1" applyProtection="1">
      <alignment vertical="center"/>
    </xf>
    <xf numFmtId="0" fontId="22" fillId="14" borderId="49" xfId="0" applyFont="1" applyFill="1" applyBorder="1" applyAlignment="1">
      <alignment horizontal="center" vertical="center" wrapText="1"/>
    </xf>
    <xf numFmtId="0" fontId="23" fillId="10" borderId="49" xfId="0" applyFont="1" applyFill="1" applyBorder="1" applyAlignment="1">
      <alignment vertical="center" wrapText="1"/>
    </xf>
    <xf numFmtId="0" fontId="23" fillId="11" borderId="49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49" fontId="23" fillId="10" borderId="49" xfId="0" applyNumberFormat="1" applyFont="1" applyFill="1" applyBorder="1" applyAlignment="1">
      <alignment vertical="center" wrapText="1"/>
    </xf>
    <xf numFmtId="0" fontId="24" fillId="0" borderId="0" xfId="3">
      <alignment vertical="center"/>
    </xf>
    <xf numFmtId="49" fontId="23" fillId="11" borderId="49" xfId="0" applyNumberFormat="1" applyFont="1" applyFill="1" applyBorder="1" applyAlignment="1">
      <alignment vertical="center" wrapText="1"/>
    </xf>
    <xf numFmtId="19" fontId="14" fillId="10" borderId="41" xfId="0" applyNumberFormat="1" applyFont="1" applyFill="1" applyBorder="1" applyAlignment="1" applyProtection="1">
      <alignment vertical="center"/>
    </xf>
    <xf numFmtId="22" fontId="5" fillId="12" borderId="42" xfId="0" applyNumberFormat="1" applyFont="1" applyFill="1" applyBorder="1" applyAlignment="1">
      <alignment horizontal="center" vertical="center"/>
    </xf>
    <xf numFmtId="20" fontId="18" fillId="0" borderId="43" xfId="0" applyNumberFormat="1" applyFont="1" applyFill="1" applyBorder="1" applyAlignment="1" applyProtection="1">
      <alignment horizontal="center" vertical="center"/>
    </xf>
    <xf numFmtId="20" fontId="14" fillId="0" borderId="43" xfId="0" applyNumberFormat="1" applyFont="1" applyFill="1" applyBorder="1" applyAlignment="1" applyProtection="1">
      <alignment horizontal="center" vertical="center"/>
    </xf>
    <xf numFmtId="20" fontId="14" fillId="0" borderId="44" xfId="0" applyNumberFormat="1" applyFont="1" applyFill="1" applyBorder="1" applyAlignment="1">
      <alignment horizontal="center" vertical="center"/>
    </xf>
    <xf numFmtId="20" fontId="14" fillId="0" borderId="14" xfId="0" applyNumberFormat="1" applyFont="1" applyFill="1" applyBorder="1" applyAlignment="1">
      <alignment horizontal="center" vertical="center"/>
    </xf>
    <xf numFmtId="20" fontId="14" fillId="0" borderId="11" xfId="0" applyNumberFormat="1" applyFont="1" applyFill="1" applyBorder="1" applyAlignment="1">
      <alignment horizontal="center" vertical="center"/>
    </xf>
    <xf numFmtId="20" fontId="14" fillId="0" borderId="43" xfId="0" applyNumberFormat="1" applyFont="1" applyFill="1" applyBorder="1" applyAlignment="1">
      <alignment horizontal="center" vertical="center"/>
    </xf>
    <xf numFmtId="20" fontId="14" fillId="0" borderId="42" xfId="0" applyNumberFormat="1" applyFont="1" applyFill="1" applyBorder="1" applyAlignment="1">
      <alignment horizontal="center" vertical="center"/>
    </xf>
    <xf numFmtId="176" fontId="14" fillId="0" borderId="11" xfId="0" applyNumberFormat="1" applyFont="1" applyFill="1" applyBorder="1" applyAlignment="1" applyProtection="1">
      <alignment horizontal="center" vertical="center"/>
    </xf>
    <xf numFmtId="177" fontId="14" fillId="0" borderId="11" xfId="0" applyNumberFormat="1" applyFont="1" applyFill="1" applyBorder="1" applyAlignment="1" applyProtection="1">
      <alignment horizontal="center" vertical="center"/>
    </xf>
    <xf numFmtId="20" fontId="14" fillId="0" borderId="11" xfId="0" applyNumberFormat="1" applyFont="1" applyFill="1" applyBorder="1" applyAlignment="1" applyProtection="1">
      <alignment horizontal="center" vertical="center"/>
    </xf>
    <xf numFmtId="20" fontId="14" fillId="0" borderId="12" xfId="0" applyNumberFormat="1" applyFont="1" applyFill="1" applyBorder="1" applyAlignment="1" applyProtection="1">
      <alignment horizontal="center" vertical="center"/>
    </xf>
    <xf numFmtId="20" fontId="14" fillId="0" borderId="13" xfId="0" applyNumberFormat="1" applyFont="1" applyFill="1" applyBorder="1" applyAlignment="1" applyProtection="1">
      <alignment horizontal="center" vertical="center"/>
    </xf>
    <xf numFmtId="0" fontId="14" fillId="0" borderId="16" xfId="0" applyNumberFormat="1" applyFont="1" applyFill="1" applyBorder="1" applyAlignment="1" applyProtection="1">
      <alignment vertical="center"/>
    </xf>
    <xf numFmtId="0" fontId="14" fillId="0" borderId="38" xfId="0" applyNumberFormat="1" applyFont="1" applyFill="1" applyBorder="1" applyAlignment="1" applyProtection="1">
      <alignment vertical="center"/>
    </xf>
    <xf numFmtId="0" fontId="18" fillId="0" borderId="15" xfId="0" applyNumberFormat="1" applyFont="1" applyFill="1" applyBorder="1" applyAlignment="1" applyProtection="1">
      <alignment vertical="center"/>
    </xf>
    <xf numFmtId="20" fontId="5" fillId="0" borderId="11" xfId="0" applyNumberFormat="1" applyFont="1" applyFill="1" applyBorder="1" applyAlignment="1" applyProtection="1">
      <alignment horizontal="center" vertical="center"/>
    </xf>
    <xf numFmtId="20" fontId="18" fillId="0" borderId="13" xfId="0" applyNumberFormat="1" applyFont="1" applyFill="1" applyBorder="1" applyAlignment="1" applyProtection="1">
      <alignment horizontal="center" vertical="center"/>
    </xf>
    <xf numFmtId="20" fontId="14" fillId="0" borderId="16" xfId="0" applyNumberFormat="1" applyFont="1" applyFill="1" applyBorder="1" applyAlignment="1" applyProtection="1">
      <alignment vertical="center"/>
    </xf>
    <xf numFmtId="176" fontId="14" fillId="0" borderId="33" xfId="0" applyNumberFormat="1" applyFont="1" applyFill="1" applyBorder="1" applyAlignment="1" applyProtection="1">
      <alignment horizontal="center" vertical="center"/>
    </xf>
    <xf numFmtId="177" fontId="14" fillId="0" borderId="33" xfId="0" applyNumberFormat="1" applyFont="1" applyFill="1" applyBorder="1" applyAlignment="1" applyProtection="1">
      <alignment horizontal="center" vertical="center"/>
    </xf>
    <xf numFmtId="21" fontId="18" fillId="0" borderId="33" xfId="0" applyNumberFormat="1" applyFont="1" applyFill="1" applyBorder="1" applyAlignment="1" applyProtection="1">
      <alignment horizontal="center" vertical="center"/>
    </xf>
    <xf numFmtId="20" fontId="14" fillId="0" borderId="33" xfId="0" applyNumberFormat="1" applyFont="1" applyFill="1" applyBorder="1" applyAlignment="1" applyProtection="1">
      <alignment horizontal="center" vertical="center"/>
    </xf>
    <xf numFmtId="20" fontId="14" fillId="0" borderId="36" xfId="0" applyNumberFormat="1" applyFont="1" applyFill="1" applyBorder="1" applyAlignment="1" applyProtection="1">
      <alignment horizontal="center" vertical="center"/>
    </xf>
    <xf numFmtId="20" fontId="14" fillId="0" borderId="35" xfId="0" applyNumberFormat="1" applyFont="1" applyFill="1" applyBorder="1" applyAlignment="1" applyProtection="1">
      <alignment horizontal="center" vertical="center"/>
    </xf>
    <xf numFmtId="20" fontId="5" fillId="0" borderId="33" xfId="0" applyNumberFormat="1" applyFont="1" applyFill="1" applyBorder="1" applyAlignment="1" applyProtection="1">
      <alignment horizontal="center" vertical="center"/>
    </xf>
    <xf numFmtId="0" fontId="14" fillId="0" borderId="32" xfId="0" applyNumberFormat="1" applyFont="1" applyFill="1" applyBorder="1" applyAlignment="1" applyProtection="1">
      <alignment vertical="center"/>
    </xf>
    <xf numFmtId="0" fontId="14" fillId="0" borderId="31" xfId="0" applyNumberFormat="1" applyFont="1" applyFill="1" applyBorder="1" applyAlignment="1" applyProtection="1">
      <alignment vertical="center"/>
    </xf>
    <xf numFmtId="0" fontId="14" fillId="0" borderId="37" xfId="0" applyNumberFormat="1" applyFont="1" applyFill="1" applyBorder="1" applyAlignment="1" applyProtection="1">
      <alignment vertical="center"/>
    </xf>
    <xf numFmtId="20" fontId="14" fillId="13" borderId="44" xfId="0" applyNumberFormat="1" applyFont="1" applyFill="1" applyBorder="1" applyAlignment="1">
      <alignment horizontal="center" vertical="center"/>
    </xf>
    <xf numFmtId="20" fontId="14" fillId="13" borderId="14" xfId="0" applyNumberFormat="1" applyFont="1" applyFill="1" applyBorder="1" applyAlignment="1">
      <alignment horizontal="center" vertical="center"/>
    </xf>
    <xf numFmtId="20" fontId="14" fillId="13" borderId="11" xfId="0" applyNumberFormat="1" applyFont="1" applyFill="1" applyBorder="1" applyAlignment="1">
      <alignment horizontal="center" vertical="center"/>
    </xf>
    <xf numFmtId="20" fontId="14" fillId="13" borderId="43" xfId="0" applyNumberFormat="1" applyFont="1" applyFill="1" applyBorder="1" applyAlignment="1">
      <alignment horizontal="center" vertical="center"/>
    </xf>
    <xf numFmtId="20" fontId="14" fillId="13" borderId="42" xfId="0" applyNumberFormat="1" applyFont="1" applyFill="1" applyBorder="1" applyAlignment="1">
      <alignment horizontal="center" vertical="center"/>
    </xf>
    <xf numFmtId="20" fontId="5" fillId="13" borderId="42" xfId="0" applyNumberFormat="1" applyFont="1" applyFill="1" applyBorder="1" applyAlignment="1">
      <alignment horizontal="center" vertical="center"/>
    </xf>
    <xf numFmtId="0" fontId="18" fillId="13" borderId="15" xfId="0" applyNumberFormat="1" applyFont="1" applyFill="1" applyBorder="1" applyAlignment="1" applyProtection="1">
      <alignment vertical="center"/>
    </xf>
    <xf numFmtId="20" fontId="14" fillId="13" borderId="16" xfId="0" applyNumberFormat="1" applyFont="1" applyFill="1" applyBorder="1" applyAlignment="1">
      <alignment horizontal="center" vertical="center"/>
    </xf>
    <xf numFmtId="20" fontId="18" fillId="10" borderId="14" xfId="0" applyNumberFormat="1" applyFont="1" applyFill="1" applyBorder="1" applyAlignment="1" applyProtection="1">
      <alignment horizontal="center" vertical="center"/>
    </xf>
    <xf numFmtId="20" fontId="14" fillId="10" borderId="38" xfId="0" applyNumberFormat="1" applyFont="1" applyFill="1" applyBorder="1" applyAlignment="1" applyProtection="1">
      <alignment vertical="center"/>
    </xf>
    <xf numFmtId="20" fontId="18" fillId="13" borderId="13" xfId="0" applyNumberFormat="1" applyFont="1" applyFill="1" applyBorder="1" applyAlignment="1" applyProtection="1">
      <alignment horizontal="center" vertical="center"/>
    </xf>
    <xf numFmtId="0" fontId="18" fillId="13" borderId="16" xfId="0" applyNumberFormat="1" applyFont="1" applyFill="1" applyBorder="1" applyAlignment="1" applyProtection="1">
      <alignment vertical="center"/>
    </xf>
    <xf numFmtId="20" fontId="0" fillId="0" borderId="1" xfId="0" applyNumberFormat="1" applyFont="1" applyFill="1" applyBorder="1" applyAlignment="1" applyProtection="1">
      <alignment vertical="center"/>
    </xf>
    <xf numFmtId="0" fontId="5" fillId="8" borderId="1" xfId="0" applyNumberFormat="1" applyFont="1" applyFill="1" applyBorder="1" applyAlignment="1" applyProtection="1">
      <alignment horizontal="left" vertical="center"/>
    </xf>
    <xf numFmtId="0" fontId="5" fillId="8" borderId="1" xfId="0" applyNumberFormat="1" applyFont="1" applyFill="1" applyBorder="1" applyAlignment="1" applyProtection="1">
      <alignment horizontal="left" vertical="center" wrapText="1"/>
    </xf>
    <xf numFmtId="0" fontId="11" fillId="2" borderId="1" xfId="0" applyNumberFormat="1" applyFont="1" applyFill="1" applyBorder="1" applyAlignment="1" applyProtection="1">
      <alignment vertical="center"/>
    </xf>
    <xf numFmtId="0" fontId="11" fillId="2" borderId="1" xfId="0" applyNumberFormat="1" applyFont="1" applyFill="1" applyBorder="1" applyAlignment="1" applyProtection="1">
      <alignment horizontal="center" vertical="center"/>
    </xf>
    <xf numFmtId="181" fontId="16" fillId="5" borderId="19" xfId="0" applyNumberFormat="1" applyFont="1" applyFill="1" applyBorder="1" applyAlignment="1" applyProtection="1">
      <alignment horizontal="center" vertical="center"/>
    </xf>
    <xf numFmtId="181" fontId="0" fillId="5" borderId="19" xfId="0" applyNumberFormat="1" applyFont="1" applyFill="1" applyBorder="1" applyAlignment="1" applyProtection="1">
      <alignment horizontal="center" vertical="center"/>
    </xf>
    <xf numFmtId="0" fontId="0" fillId="4" borderId="22" xfId="0" applyNumberFormat="1" applyFont="1" applyFill="1" applyBorder="1" applyAlignment="1" applyProtection="1">
      <alignment horizontal="center" vertical="center"/>
    </xf>
    <xf numFmtId="0" fontId="0" fillId="4" borderId="21" xfId="0" applyNumberFormat="1" applyFont="1" applyFill="1" applyBorder="1" applyAlignment="1" applyProtection="1">
      <alignment horizontal="center" vertical="center"/>
    </xf>
    <xf numFmtId="182" fontId="17" fillId="0" borderId="0" xfId="0" applyNumberFormat="1" applyFont="1" applyFill="1" applyBorder="1" applyAlignment="1" applyProtection="1">
      <alignment horizontal="center" vertical="center"/>
    </xf>
    <xf numFmtId="0" fontId="11" fillId="2" borderId="46" xfId="0" applyNumberFormat="1" applyFont="1" applyFill="1" applyBorder="1" applyAlignment="1" applyProtection="1">
      <alignment horizontal="center" vertical="center"/>
    </xf>
    <xf numFmtId="0" fontId="11" fillId="2" borderId="47" xfId="0" applyNumberFormat="1" applyFont="1" applyFill="1" applyBorder="1" applyAlignment="1" applyProtection="1">
      <alignment horizontal="center" vertical="center"/>
    </xf>
    <xf numFmtId="0" fontId="11" fillId="2" borderId="48" xfId="0" applyNumberFormat="1" applyFont="1" applyFill="1" applyBorder="1" applyAlignment="1" applyProtection="1">
      <alignment horizontal="center" vertical="center"/>
    </xf>
    <xf numFmtId="0" fontId="14" fillId="6" borderId="19" xfId="0" applyNumberFormat="1" applyFont="1" applyFill="1" applyBorder="1" applyAlignment="1" applyProtection="1">
      <alignment horizontal="center" vertical="center"/>
    </xf>
    <xf numFmtId="0" fontId="5" fillId="6" borderId="19" xfId="0" applyNumberFormat="1" applyFont="1" applyFill="1" applyBorder="1" applyAlignment="1" applyProtection="1">
      <alignment horizontal="center" vertical="center"/>
    </xf>
    <xf numFmtId="178" fontId="16" fillId="5" borderId="19" xfId="0" applyNumberFormat="1" applyFont="1" applyFill="1" applyBorder="1" applyAlignment="1" applyProtection="1">
      <alignment horizontal="center" vertical="center"/>
    </xf>
    <xf numFmtId="178" fontId="0" fillId="0" borderId="19" xfId="0" applyNumberFormat="1" applyFont="1" applyFill="1" applyBorder="1" applyAlignment="1" applyProtection="1">
      <alignment horizontal="center" vertical="center"/>
    </xf>
    <xf numFmtId="180" fontId="5" fillId="5" borderId="19" xfId="0" applyNumberFormat="1" applyFont="1" applyFill="1" applyBorder="1" applyAlignment="1" applyProtection="1">
      <alignment horizontal="center" vertical="center"/>
    </xf>
    <xf numFmtId="0" fontId="0" fillId="7" borderId="20" xfId="0" applyNumberFormat="1" applyFont="1" applyFill="1" applyBorder="1" applyAlignment="1" applyProtection="1">
      <alignment horizontal="center" vertical="center"/>
    </xf>
    <xf numFmtId="0" fontId="0" fillId="7" borderId="21" xfId="0" applyNumberFormat="1" applyFont="1" applyFill="1" applyBorder="1" applyAlignment="1" applyProtection="1">
      <alignment horizontal="center" vertical="center"/>
    </xf>
    <xf numFmtId="0" fontId="0" fillId="7" borderId="18" xfId="0" applyNumberFormat="1" applyFont="1" applyFill="1" applyBorder="1" applyAlignment="1" applyProtection="1">
      <alignment horizontal="center" vertical="center"/>
    </xf>
    <xf numFmtId="0" fontId="0" fillId="7" borderId="4" xfId="0" applyNumberFormat="1" applyFont="1" applyFill="1" applyBorder="1" applyAlignment="1" applyProtection="1">
      <alignment horizontal="center" vertical="center"/>
    </xf>
  </cellXfs>
  <cellStyles count="4">
    <cellStyle name="ハイパーリンク" xfId="3" builtinId="8"/>
    <cellStyle name="標準" xfId="0" builtinId="0"/>
    <cellStyle name="標準_基本情報" xfId="1" xr:uid="{00000000-0005-0000-0000-000001000000}"/>
    <cellStyle name="標準_基本情報_1" xfId="2" xr:uid="{00000000-0005-0000-0000-000002000000}"/>
  </cellStyles>
  <dxfs count="4">
    <dxf>
      <fill>
        <patternFill patternType="solid">
          <fgColor indexed="65"/>
          <bgColor indexed="45"/>
        </patternFill>
      </fill>
    </dxf>
    <dxf>
      <fill>
        <patternFill patternType="solid">
          <fgColor indexed="65"/>
          <bgColor indexed="4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184337</xdr:colOff>
      <xdr:row>3</xdr:row>
      <xdr:rowOff>35299</xdr:rowOff>
    </xdr:from>
    <xdr:to>
      <xdr:col>21</xdr:col>
      <xdr:colOff>285750</xdr:colOff>
      <xdr:row>5</xdr:row>
      <xdr:rowOff>200025</xdr:rowOff>
    </xdr:to>
    <xdr:grpSp>
      <xdr:nvGrpSpPr>
        <xdr:cNvPr id="4232" name="Group 5">
          <a:extLst>
            <a:ext uri="{FF2B5EF4-FFF2-40B4-BE49-F238E27FC236}">
              <a16:creationId xmlns:a16="http://schemas.microsoft.com/office/drawing/2014/main" id="{00000000-0008-0000-0000-000088100000}"/>
            </a:ext>
          </a:extLst>
        </xdr:cNvPr>
        <xdr:cNvGrpSpPr>
          <a:grpSpLocks/>
        </xdr:cNvGrpSpPr>
      </xdr:nvGrpSpPr>
      <xdr:grpSpPr bwMode="auto">
        <a:xfrm>
          <a:off x="8680637" y="1130674"/>
          <a:ext cx="691963" cy="736226"/>
          <a:chOff x="0" y="0"/>
          <a:chExt cx="66" cy="74"/>
        </a:xfrm>
      </xdr:grpSpPr>
      <xdr:sp macro="" textlink="">
        <xdr:nvSpPr>
          <xdr:cNvPr id="4233" name="Oval 1">
            <a:extLst>
              <a:ext uri="{FF2B5EF4-FFF2-40B4-BE49-F238E27FC236}">
                <a16:creationId xmlns:a16="http://schemas.microsoft.com/office/drawing/2014/main" id="{00000000-0008-0000-0000-0000891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0" y="8"/>
            <a:ext cx="66" cy="66"/>
          </a:xfrm>
          <a:prstGeom prst="ellipse">
            <a:avLst/>
          </a:prstGeom>
          <a:solidFill>
            <a:srgbClr val="FFFFFF"/>
          </a:solidFill>
          <a:ln w="4445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031" name="Text Box 17">
            <a:extLst>
              <a:ext uri="{FF2B5EF4-FFF2-40B4-BE49-F238E27FC236}">
                <a16:creationId xmlns:a16="http://schemas.microsoft.com/office/drawing/2014/main" id="{00000000-0008-0000-0000-000007040000}"/>
              </a:ext>
            </a:extLst>
          </xdr:cNvPr>
          <xdr:cNvSpPr>
            <a:spLocks noChangeArrowheads="1"/>
          </xdr:cNvSpPr>
        </xdr:nvSpPr>
        <xdr:spPr bwMode="auto">
          <a:xfrm>
            <a:off x="9" y="0"/>
            <a:ext cx="47" cy="67"/>
          </a:xfrm>
          <a:prstGeom prst="rect">
            <a:avLst/>
          </a:prstGeom>
          <a:noFill/>
          <a:ln w="9525" cmpd="sng">
            <a:noFill/>
            <a:miter lim="800000"/>
            <a:headEnd/>
            <a:tailEnd/>
          </a:ln>
        </xdr:spPr>
        <xdr:txBody>
          <a:bodyPr wrap="none" lIns="45720" tIns="22860" rIns="45720" bIns="2286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2800" b="1" i="0" u="none" strike="noStrike" baseline="0">
                <a:solidFill>
                  <a:srgbClr val="FF0000"/>
                </a:solidFill>
                <a:latin typeface="HG行書体"/>
                <a:ea typeface="HG行書体"/>
              </a:rPr>
              <a:t>鬼</a:t>
            </a:r>
          </a:p>
        </xdr:txBody>
      </xdr:sp>
      <xdr:sp macro="" textlink="">
        <xdr:nvSpPr>
          <xdr:cNvPr id="1032" name="Text Box 18">
            <a:extLst>
              <a:ext uri="{FF2B5EF4-FFF2-40B4-BE49-F238E27FC236}">
                <a16:creationId xmlns:a16="http://schemas.microsoft.com/office/drawing/2014/main" id="{00000000-0008-0000-0000-000008040000}"/>
              </a:ext>
            </a:extLst>
          </xdr:cNvPr>
          <xdr:cNvSpPr>
            <a:spLocks noChangeArrowheads="1"/>
          </xdr:cNvSpPr>
        </xdr:nvSpPr>
        <xdr:spPr bwMode="auto">
          <a:xfrm>
            <a:off x="9" y="29"/>
            <a:ext cx="50" cy="48"/>
          </a:xfrm>
          <a:prstGeom prst="rect">
            <a:avLst/>
          </a:prstGeom>
          <a:noFill/>
          <a:ln w="9525" cmpd="sng">
            <a:noFill/>
            <a:miter lim="800000"/>
            <a:headEnd/>
            <a:tailEnd/>
          </a:ln>
        </xdr:spPr>
        <xdr:txBody>
          <a:bodyPr wrap="square" lIns="45720" tIns="22860" rIns="45720" bIns="2286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2800" b="1" i="0" u="none" strike="noStrike" baseline="0">
                <a:solidFill>
                  <a:srgbClr val="FF0000"/>
                </a:solidFill>
                <a:latin typeface="HG行書体"/>
                <a:ea typeface="HG行書体"/>
              </a:rPr>
              <a:t>澤　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1</xdr:row>
          <xdr:rowOff>209550</xdr:rowOff>
        </xdr:from>
        <xdr:to>
          <xdr:col>19</xdr:col>
          <xdr:colOff>266700</xdr:colOff>
          <xdr:row>3</xdr:row>
          <xdr:rowOff>19050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入力内容チェック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</xdr:row>
          <xdr:rowOff>19050</xdr:rowOff>
        </xdr:from>
        <xdr:to>
          <xdr:col>6</xdr:col>
          <xdr:colOff>523875</xdr:colOff>
          <xdr:row>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koyomi.vis.ne.jp/sub/syukujitsu_table.htm" TargetMode="Externa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B54"/>
  <sheetViews>
    <sheetView tabSelected="1" view="pageBreakPreview" topLeftCell="A10" zoomScaleNormal="100" zoomScaleSheetLayoutView="100" workbookViewId="0">
      <selection activeCell="H19" sqref="H19"/>
    </sheetView>
  </sheetViews>
  <sheetFormatPr defaultColWidth="9" defaultRowHeight="30" customHeight="1"/>
  <cols>
    <col min="1" max="1" width="4" style="7" customWidth="1"/>
    <col min="2" max="2" width="4.625" style="6" customWidth="1"/>
    <col min="3" max="5" width="7.875" style="6" customWidth="1"/>
    <col min="6" max="8" width="4.5" style="6" customWidth="1"/>
    <col min="9" max="12" width="5" style="6" customWidth="1"/>
    <col min="13" max="14" width="7.875" style="6" customWidth="1"/>
    <col min="15" max="18" width="3.625" style="6" customWidth="1"/>
    <col min="19" max="22" width="7.75" style="6" customWidth="1"/>
    <col min="23" max="23" width="2.625" style="6" customWidth="1"/>
    <col min="24" max="28" width="10.625" style="6" customWidth="1"/>
    <col min="29" max="30" width="3.375" style="6" customWidth="1"/>
    <col min="31" max="184" width="9" style="7" customWidth="1"/>
  </cols>
  <sheetData>
    <row r="1" spans="1:30" ht="39" customHeigh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4" t="s">
        <v>1</v>
      </c>
      <c r="W1" s="78"/>
      <c r="X1" s="5" t="s">
        <v>2</v>
      </c>
      <c r="Y1" s="86">
        <v>0.75</v>
      </c>
      <c r="Z1" s="5" t="s">
        <v>3</v>
      </c>
      <c r="AA1" s="86">
        <v>0.53819444444444442</v>
      </c>
      <c r="AB1" s="6" t="str">
        <f ca="1">RIGHT(CELL("filename"),LEN(CELL("filename"))-FIND("]",CELL("filename")))</f>
        <v>勤務報告書</v>
      </c>
    </row>
    <row r="2" spans="1:30" ht="24.95" customHeight="1">
      <c r="R2" s="8"/>
      <c r="S2" s="8"/>
      <c r="T2" s="8"/>
      <c r="U2" s="8"/>
      <c r="V2" s="9"/>
      <c r="X2" s="5" t="s">
        <v>4</v>
      </c>
      <c r="Y2" s="86">
        <v>0.91666666666666696</v>
      </c>
      <c r="AA2" s="10">
        <v>0</v>
      </c>
      <c r="AB2" s="11">
        <f>基本情報!D4</f>
        <v>43497</v>
      </c>
    </row>
    <row r="3" spans="1:30" ht="22.5" customHeight="1">
      <c r="A3" s="6"/>
      <c r="B3" s="15" t="s">
        <v>5</v>
      </c>
      <c r="C3" s="16" t="s">
        <v>96</v>
      </c>
      <c r="D3" s="16"/>
      <c r="E3" s="16"/>
      <c r="F3" s="16"/>
      <c r="G3" s="16"/>
      <c r="H3" s="16"/>
      <c r="P3" s="15"/>
      <c r="Q3" s="15"/>
      <c r="R3" s="15"/>
      <c r="S3" s="17"/>
      <c r="T3" s="15"/>
      <c r="U3" s="211" t="s">
        <v>6</v>
      </c>
      <c r="V3" s="212"/>
      <c r="W3" s="14"/>
    </row>
    <row r="4" spans="1:30" ht="22.5" customHeight="1">
      <c r="A4" s="6"/>
      <c r="B4" s="13" t="s">
        <v>7</v>
      </c>
      <c r="C4" s="25" t="str">
        <f>基本情報!D8</f>
        <v>鬼澤　啓太</v>
      </c>
      <c r="D4" s="25"/>
      <c r="E4" s="25"/>
      <c r="F4" s="25"/>
      <c r="G4" s="25"/>
      <c r="H4" s="25"/>
      <c r="I4" s="12"/>
      <c r="P4" s="15"/>
      <c r="Q4" s="15"/>
      <c r="R4" s="15"/>
      <c r="S4" s="17"/>
      <c r="T4" s="15"/>
      <c r="U4" s="18"/>
      <c r="V4" s="19"/>
      <c r="W4" s="20"/>
      <c r="X4" s="21" t="s">
        <v>8</v>
      </c>
      <c r="Y4" s="21">
        <f>YEAR(J5)</f>
        <v>2023</v>
      </c>
      <c r="Z4" s="21" t="s">
        <v>9</v>
      </c>
      <c r="AA4" s="21">
        <f>MONTH(J5)</f>
        <v>2</v>
      </c>
    </row>
    <row r="5" spans="1:30" ht="22.5" customHeight="1">
      <c r="A5" s="12"/>
      <c r="B5" s="13" t="s">
        <v>10</v>
      </c>
      <c r="C5" s="25" t="str">
        <f>基本情報!D11&amp;"（"&amp;基本情報!D12&amp;"）"</f>
        <v>A社保守（海浜幕張）</v>
      </c>
      <c r="D5" s="25"/>
      <c r="E5" s="25"/>
      <c r="F5" s="25"/>
      <c r="G5" s="25"/>
      <c r="H5" s="25"/>
      <c r="I5" s="12"/>
      <c r="J5" s="213">
        <f>AB2</f>
        <v>43497</v>
      </c>
      <c r="K5" s="213"/>
      <c r="L5" s="213"/>
      <c r="M5" s="213"/>
      <c r="N5" s="8" t="s">
        <v>11</v>
      </c>
      <c r="O5" s="1"/>
      <c r="P5" s="15"/>
      <c r="Q5" s="15"/>
      <c r="R5" s="15"/>
      <c r="S5" s="17"/>
      <c r="T5" s="15"/>
      <c r="U5" s="22"/>
      <c r="V5" s="23"/>
      <c r="W5" s="24"/>
    </row>
    <row r="6" spans="1:30" ht="22.5" customHeight="1">
      <c r="A6" s="12"/>
      <c r="B6" s="13" t="s">
        <v>12</v>
      </c>
      <c r="C6" s="25" t="s">
        <v>97</v>
      </c>
      <c r="D6" s="25"/>
      <c r="E6" s="25"/>
      <c r="F6" s="25"/>
      <c r="G6" s="25"/>
      <c r="H6" s="25"/>
      <c r="I6" s="12"/>
      <c r="P6" s="15"/>
      <c r="Q6" s="15"/>
      <c r="R6" s="15"/>
      <c r="S6" s="17"/>
      <c r="T6" s="15"/>
      <c r="U6" s="26"/>
      <c r="V6" s="27"/>
      <c r="W6" s="24"/>
    </row>
    <row r="7" spans="1:30" ht="22.5" customHeight="1">
      <c r="A7" s="15"/>
      <c r="C7" s="6" t="s">
        <v>158</v>
      </c>
      <c r="D7" s="6" t="s">
        <v>158</v>
      </c>
      <c r="F7" s="6" t="s">
        <v>158</v>
      </c>
      <c r="G7" s="6" t="s">
        <v>158</v>
      </c>
      <c r="H7" s="6" t="s">
        <v>158</v>
      </c>
      <c r="M7" s="6" t="s">
        <v>158</v>
      </c>
      <c r="P7" s="29"/>
      <c r="W7" s="24"/>
    </row>
    <row r="8" spans="1:30" s="30" customFormat="1" ht="21" customHeight="1">
      <c r="A8" s="208" t="s">
        <v>13</v>
      </c>
      <c r="B8" s="208" t="s">
        <v>14</v>
      </c>
      <c r="C8" s="208" t="s">
        <v>15</v>
      </c>
      <c r="D8" s="208" t="s">
        <v>16</v>
      </c>
      <c r="E8" s="31" t="s">
        <v>17</v>
      </c>
      <c r="F8" s="214" t="s">
        <v>18</v>
      </c>
      <c r="G8" s="214"/>
      <c r="H8" s="214"/>
      <c r="I8" s="215" t="s">
        <v>19</v>
      </c>
      <c r="J8" s="214"/>
      <c r="K8" s="214"/>
      <c r="L8" s="216"/>
      <c r="M8" s="208" t="s">
        <v>20</v>
      </c>
      <c r="N8" s="208" t="s">
        <v>21</v>
      </c>
      <c r="O8" s="207" t="s">
        <v>22</v>
      </c>
      <c r="P8" s="207"/>
      <c r="Q8" s="207"/>
      <c r="R8" s="207"/>
      <c r="S8" s="207"/>
      <c r="T8" s="207"/>
      <c r="U8" s="207"/>
      <c r="V8" s="207"/>
      <c r="W8" s="6"/>
      <c r="X8" s="205" t="s">
        <v>23</v>
      </c>
      <c r="Y8" s="205" t="s">
        <v>94</v>
      </c>
      <c r="Z8" s="206" t="s">
        <v>24</v>
      </c>
      <c r="AA8" s="6"/>
      <c r="AB8" s="6"/>
      <c r="AC8" s="6"/>
      <c r="AD8" s="6"/>
    </row>
    <row r="9" spans="1:30" s="28" customFormat="1" ht="22.5">
      <c r="A9" s="208"/>
      <c r="B9" s="208"/>
      <c r="C9" s="208"/>
      <c r="D9" s="208"/>
      <c r="E9" s="100" t="s">
        <v>25</v>
      </c>
      <c r="F9" s="103" t="s">
        <v>26</v>
      </c>
      <c r="G9" s="102" t="s">
        <v>27</v>
      </c>
      <c r="H9" s="101" t="s">
        <v>28</v>
      </c>
      <c r="I9" s="100" t="s">
        <v>2</v>
      </c>
      <c r="J9" s="100" t="s">
        <v>29</v>
      </c>
      <c r="K9" s="99" t="s">
        <v>30</v>
      </c>
      <c r="L9" s="99" t="s">
        <v>31</v>
      </c>
      <c r="M9" s="208"/>
      <c r="N9" s="208"/>
      <c r="O9" s="207"/>
      <c r="P9" s="207"/>
      <c r="Q9" s="207"/>
      <c r="R9" s="207"/>
      <c r="S9" s="207"/>
      <c r="T9" s="207"/>
      <c r="U9" s="207"/>
      <c r="V9" s="207"/>
      <c r="W9" s="96"/>
      <c r="X9" s="205"/>
      <c r="Y9" s="205"/>
      <c r="Z9" s="205"/>
      <c r="AA9" s="32"/>
      <c r="AB9" s="32"/>
      <c r="AC9" s="6"/>
      <c r="AD9" s="6"/>
    </row>
    <row r="10" spans="1:30" s="28" customFormat="1" ht="21" customHeight="1">
      <c r="A10" s="111">
        <v>43496</v>
      </c>
      <c r="B10" s="112" t="s">
        <v>99</v>
      </c>
      <c r="C10" s="113"/>
      <c r="D10" s="114"/>
      <c r="E10" s="115"/>
      <c r="F10" s="116"/>
      <c r="G10" s="116"/>
      <c r="H10" s="119" t="str">
        <f t="shared" ref="H10:H40" si="0">IF(E10&lt;&gt;"",IF(OR(F10="○",G10="○"),"","○"),"")</f>
        <v/>
      </c>
      <c r="I10" s="120" t="str">
        <f t="shared" ref="I10:I40" si="1">IF($Z10&lt;&gt;1,IF(C10="","",IF($D10&lt;$Y$1,$AA$2,IF($D10&lt;=$Y$2,$D10-$Y$1,$Y$2-$Y$1))),"")</f>
        <v/>
      </c>
      <c r="J10" s="121" t="str">
        <f t="shared" ref="J10:J40" si="2">IF($Z10&lt;&gt;1,IF(C10="","",IF($D10&gt;$Y$2,$D10-$Y$2,"")),"")</f>
        <v/>
      </c>
      <c r="K10" s="122" t="str">
        <f t="shared" ref="K10:K40" si="3">IF($Z10=1,IF(C10="","",IF($D10&lt;$Y$1,$AA$2,IF($D10&lt;=$Y$2,$D10-$Y$1,$Y$2-$Y$1))),"")</f>
        <v/>
      </c>
      <c r="L10" s="123" t="str">
        <f t="shared" ref="L10:L40" si="4">IF($Z10=1,IF(C10="","",IF($D10&gt;$Y$2,$D10-$Y$2,"")),"")</f>
        <v/>
      </c>
      <c r="M10" s="121">
        <v>8.3333333333333329E-2</v>
      </c>
      <c r="N10" s="124">
        <v>4.1666666666666671E-2</v>
      </c>
      <c r="O10" s="162"/>
      <c r="P10" s="117"/>
      <c r="Q10" s="117"/>
      <c r="R10" s="117"/>
      <c r="S10" s="117"/>
      <c r="T10" s="117"/>
      <c r="U10" s="117"/>
      <c r="V10" s="118"/>
      <c r="W10" s="96"/>
      <c r="X10" s="34" t="b">
        <f>IF(Y10="○",TRUE,OR(WEEKDAY($A10)=7,WEEKDAY($A10)=1))</f>
        <v>0</v>
      </c>
      <c r="Y10" s="34"/>
      <c r="Z10" s="34"/>
      <c r="AA10" s="33"/>
      <c r="AB10" s="32"/>
      <c r="AC10" s="6"/>
      <c r="AD10" s="6"/>
    </row>
    <row r="11" spans="1:30" s="24" customFormat="1" ht="21" customHeight="1">
      <c r="A11" s="125">
        <v>43497</v>
      </c>
      <c r="B11" s="126" t="s">
        <v>100</v>
      </c>
      <c r="C11" s="113"/>
      <c r="D11" s="114"/>
      <c r="E11" s="127"/>
      <c r="F11" s="128"/>
      <c r="G11" s="129"/>
      <c r="H11" s="119" t="str">
        <f t="shared" si="0"/>
        <v/>
      </c>
      <c r="I11" s="120" t="str">
        <f t="shared" si="1"/>
        <v/>
      </c>
      <c r="J11" s="121" t="str">
        <f t="shared" si="2"/>
        <v/>
      </c>
      <c r="K11" s="122" t="str">
        <f t="shared" si="3"/>
        <v/>
      </c>
      <c r="L11" s="123" t="str">
        <f t="shared" si="4"/>
        <v/>
      </c>
      <c r="M11" s="121">
        <v>4.1666666666666664E-2</v>
      </c>
      <c r="N11" s="163">
        <v>0.29166666666666663</v>
      </c>
      <c r="O11" s="130"/>
      <c r="P11" s="131"/>
      <c r="Q11" s="131"/>
      <c r="R11" s="131"/>
      <c r="S11" s="132"/>
      <c r="T11" s="131"/>
      <c r="U11" s="131"/>
      <c r="V11" s="133"/>
      <c r="W11" s="95"/>
      <c r="X11" s="34" t="b">
        <f t="shared" ref="X11:X40" si="5">IF(Y11="○",TRUE,OR(WEEKDAY($A11)=7,WEEKDAY($A11)=1))</f>
        <v>0</v>
      </c>
      <c r="Y11" s="34"/>
      <c r="Z11" s="34"/>
      <c r="AC11" s="6"/>
      <c r="AD11" s="6"/>
    </row>
    <row r="12" spans="1:30" s="24" customFormat="1" ht="21" customHeight="1">
      <c r="A12" s="125">
        <v>43498</v>
      </c>
      <c r="B12" s="126" t="s">
        <v>101</v>
      </c>
      <c r="C12" s="113"/>
      <c r="D12" s="114"/>
      <c r="E12" s="127"/>
      <c r="F12" s="128"/>
      <c r="G12" s="129"/>
      <c r="H12" s="119" t="str">
        <f t="shared" si="0"/>
        <v/>
      </c>
      <c r="I12" s="120" t="str">
        <f t="shared" si="1"/>
        <v/>
      </c>
      <c r="J12" s="121" t="str">
        <f t="shared" si="2"/>
        <v/>
      </c>
      <c r="K12" s="122" t="str">
        <f t="shared" si="3"/>
        <v/>
      </c>
      <c r="L12" s="123" t="str">
        <f t="shared" si="4"/>
        <v/>
      </c>
      <c r="M12" s="121">
        <v>4.1666666666666664E-2</v>
      </c>
      <c r="N12" s="124">
        <v>0.375</v>
      </c>
      <c r="O12" s="130"/>
      <c r="P12" s="131"/>
      <c r="Q12" s="131"/>
      <c r="R12" s="131"/>
      <c r="S12" s="131"/>
      <c r="T12" s="131"/>
      <c r="U12" s="131"/>
      <c r="V12" s="133"/>
      <c r="W12" s="95"/>
      <c r="X12" s="34" t="b">
        <f>IF(Y12="○",TRUE,OR(WEEKDAY($A12)=7,WEEKDAY($A12)=1))</f>
        <v>0</v>
      </c>
      <c r="Y12" s="34"/>
      <c r="Z12" s="34"/>
      <c r="AC12" s="6"/>
      <c r="AD12" s="6"/>
    </row>
    <row r="13" spans="1:30" s="24" customFormat="1" ht="21" customHeight="1">
      <c r="A13" s="136">
        <v>43499</v>
      </c>
      <c r="B13" s="137" t="s">
        <v>102</v>
      </c>
      <c r="C13" s="138"/>
      <c r="D13" s="139"/>
      <c r="E13" s="140"/>
      <c r="F13" s="141"/>
      <c r="G13" s="142"/>
      <c r="H13" s="192" t="str">
        <f t="shared" si="0"/>
        <v/>
      </c>
      <c r="I13" s="193" t="str">
        <f t="shared" si="1"/>
        <v/>
      </c>
      <c r="J13" s="194" t="str">
        <f t="shared" si="2"/>
        <v/>
      </c>
      <c r="K13" s="195" t="str">
        <f t="shared" si="3"/>
        <v/>
      </c>
      <c r="L13" s="196" t="str">
        <f t="shared" si="4"/>
        <v/>
      </c>
      <c r="M13" s="194">
        <v>4.1666666666666664E-2</v>
      </c>
      <c r="N13" s="197">
        <v>0.33333333333333331</v>
      </c>
      <c r="O13" s="198"/>
      <c r="P13" s="145"/>
      <c r="Q13" s="145"/>
      <c r="R13" s="145"/>
      <c r="S13" s="199" t="str">
        <f>IF($Z13=1,IF(K13="","",IF($D13&lt;$Y$1,$AA$2,IF($D13&lt;=$Y$2,$D13-$Y$1,$Y$2-$Y$1))),"")</f>
        <v/>
      </c>
      <c r="T13" s="145"/>
      <c r="U13" s="145"/>
      <c r="V13" s="146"/>
      <c r="W13" s="95"/>
      <c r="X13" s="34" t="b">
        <f t="shared" si="5"/>
        <v>1</v>
      </c>
      <c r="Y13" s="34"/>
      <c r="Z13" s="34"/>
      <c r="AC13" s="6"/>
      <c r="AD13" s="6"/>
    </row>
    <row r="14" spans="1:30" s="24" customFormat="1" ht="21" customHeight="1">
      <c r="A14" s="136">
        <v>43500</v>
      </c>
      <c r="B14" s="137" t="s">
        <v>13</v>
      </c>
      <c r="C14" s="138"/>
      <c r="D14" s="139"/>
      <c r="E14" s="140"/>
      <c r="F14" s="141"/>
      <c r="G14" s="142"/>
      <c r="H14" s="192" t="str">
        <f t="shared" si="0"/>
        <v/>
      </c>
      <c r="I14" s="193" t="str">
        <f t="shared" si="1"/>
        <v/>
      </c>
      <c r="J14" s="194" t="str">
        <f t="shared" si="2"/>
        <v/>
      </c>
      <c r="K14" s="195" t="str">
        <f t="shared" si="3"/>
        <v/>
      </c>
      <c r="L14" s="196" t="str">
        <f t="shared" si="4"/>
        <v/>
      </c>
      <c r="M14" s="140">
        <v>8.3333333333333343E-2</v>
      </c>
      <c r="N14" s="197">
        <v>0.41666666666666669</v>
      </c>
      <c r="O14" s="144"/>
      <c r="P14" s="145"/>
      <c r="Q14" s="145"/>
      <c r="R14" s="145"/>
      <c r="S14" s="145"/>
      <c r="T14" s="145"/>
      <c r="U14" s="145"/>
      <c r="V14" s="146"/>
      <c r="W14" s="95"/>
      <c r="X14" s="34" t="b">
        <f>IF(Y14="○",TRUE,OR(WEEKDAY($A14)=7,WEEKDAY($A14)=1))</f>
        <v>1</v>
      </c>
      <c r="Y14" s="34"/>
      <c r="Z14" s="34">
        <f t="shared" ref="Z14:Z37" si="6">IF(X14=TRUE,1,IF(Y14&lt;&gt;"",1,""))</f>
        <v>1</v>
      </c>
      <c r="AC14" s="6"/>
      <c r="AD14" s="6"/>
    </row>
    <row r="15" spans="1:30" s="24" customFormat="1" ht="21" customHeight="1">
      <c r="A15" s="125">
        <v>43501</v>
      </c>
      <c r="B15" s="126" t="s">
        <v>9</v>
      </c>
      <c r="C15" s="113"/>
      <c r="D15" s="200"/>
      <c r="E15" s="127"/>
      <c r="F15" s="128"/>
      <c r="G15" s="129"/>
      <c r="H15" s="119" t="str">
        <f t="shared" si="0"/>
        <v/>
      </c>
      <c r="I15" s="120" t="str">
        <f t="shared" si="1"/>
        <v/>
      </c>
      <c r="J15" s="121" t="str">
        <f t="shared" si="2"/>
        <v/>
      </c>
      <c r="K15" s="122" t="str">
        <f t="shared" si="3"/>
        <v/>
      </c>
      <c r="L15" s="123" t="str">
        <f t="shared" si="4"/>
        <v/>
      </c>
      <c r="M15" s="134">
        <v>4.1666666666666664E-2</v>
      </c>
      <c r="N15" s="124">
        <v>-0.41666666666666669</v>
      </c>
      <c r="O15" s="130"/>
      <c r="P15" s="131"/>
      <c r="Q15" s="131"/>
      <c r="R15" s="131"/>
      <c r="S15" s="131"/>
      <c r="T15" s="131"/>
      <c r="U15" s="131"/>
      <c r="V15" s="133"/>
      <c r="W15" s="95"/>
      <c r="X15" s="34" t="b">
        <f t="shared" si="5"/>
        <v>0</v>
      </c>
      <c r="Y15" s="34"/>
      <c r="Z15" s="34" t="str">
        <f t="shared" ref="Z15" si="7">IF(X15=TRUE,1,IF(Y15&lt;&gt;"",1,""))</f>
        <v/>
      </c>
      <c r="AC15" s="6"/>
      <c r="AD15" s="6"/>
    </row>
    <row r="16" spans="1:30" s="24" customFormat="1" ht="21" customHeight="1">
      <c r="A16" s="125">
        <v>43502</v>
      </c>
      <c r="B16" s="126" t="s">
        <v>98</v>
      </c>
      <c r="C16" s="113">
        <v>0.29166666666666669</v>
      </c>
      <c r="D16" s="200">
        <v>0.54166666666666663</v>
      </c>
      <c r="E16" s="127">
        <v>-0.12500000000000003</v>
      </c>
      <c r="F16" s="128"/>
      <c r="G16" s="129"/>
      <c r="H16" s="119" t="str">
        <f t="shared" si="0"/>
        <v>○</v>
      </c>
      <c r="I16" s="120" t="str">
        <f t="shared" si="1"/>
        <v/>
      </c>
      <c r="J16" s="121" t="str">
        <f t="shared" si="2"/>
        <v/>
      </c>
      <c r="K16" s="122">
        <f t="shared" si="3"/>
        <v>0</v>
      </c>
      <c r="L16" s="123" t="str">
        <f t="shared" si="4"/>
        <v/>
      </c>
      <c r="M16" s="134">
        <v>4.1666666666666664E-2</v>
      </c>
      <c r="N16" s="124">
        <v>0.20833333333333329</v>
      </c>
      <c r="O16" s="130"/>
      <c r="P16" s="131"/>
      <c r="Q16" s="131"/>
      <c r="R16" s="131"/>
      <c r="S16" s="131"/>
      <c r="T16" s="131"/>
      <c r="U16" s="131"/>
      <c r="V16" s="201"/>
      <c r="W16" s="95"/>
      <c r="X16" s="34" t="b">
        <f t="shared" si="5"/>
        <v>0</v>
      </c>
      <c r="Y16" s="34"/>
      <c r="Z16" s="34">
        <v>1</v>
      </c>
      <c r="AC16" s="6"/>
      <c r="AD16" s="6"/>
    </row>
    <row r="17" spans="1:30" s="24" customFormat="1" ht="21" customHeight="1">
      <c r="A17" s="125">
        <v>43503</v>
      </c>
      <c r="B17" s="126" t="s">
        <v>99</v>
      </c>
      <c r="C17" s="113"/>
      <c r="D17" s="114"/>
      <c r="E17" s="127"/>
      <c r="F17" s="128"/>
      <c r="G17" s="128"/>
      <c r="H17" s="119" t="str">
        <f t="shared" si="0"/>
        <v/>
      </c>
      <c r="I17" s="120" t="str">
        <f t="shared" si="1"/>
        <v/>
      </c>
      <c r="J17" s="121" t="str">
        <f t="shared" si="2"/>
        <v/>
      </c>
      <c r="K17" s="122" t="str">
        <f t="shared" si="3"/>
        <v/>
      </c>
      <c r="L17" s="123" t="str">
        <f t="shared" si="4"/>
        <v/>
      </c>
      <c r="M17" s="134"/>
      <c r="N17" s="135">
        <v>0.375</v>
      </c>
      <c r="O17" s="130"/>
      <c r="P17" s="131"/>
      <c r="Q17" s="131"/>
      <c r="R17" s="131"/>
      <c r="S17" s="131"/>
      <c r="T17" s="131"/>
      <c r="U17" s="131"/>
      <c r="V17" s="133"/>
      <c r="W17" s="95"/>
      <c r="X17" s="34" t="b">
        <f t="shared" si="5"/>
        <v>0</v>
      </c>
      <c r="Y17" s="34"/>
      <c r="Z17" s="34"/>
      <c r="AC17" s="6"/>
      <c r="AD17" s="6"/>
    </row>
    <row r="18" spans="1:30" s="24" customFormat="1" ht="21" customHeight="1">
      <c r="A18" s="125">
        <v>43504</v>
      </c>
      <c r="B18" s="126" t="s">
        <v>100</v>
      </c>
      <c r="C18" s="113"/>
      <c r="D18" s="114"/>
      <c r="E18" s="127"/>
      <c r="F18" s="128"/>
      <c r="G18" s="129"/>
      <c r="H18" s="119" t="str">
        <f t="shared" si="0"/>
        <v/>
      </c>
      <c r="I18" s="120" t="str">
        <f t="shared" si="1"/>
        <v/>
      </c>
      <c r="J18" s="121" t="str">
        <f t="shared" si="2"/>
        <v/>
      </c>
      <c r="K18" s="122" t="str">
        <f t="shared" si="3"/>
        <v/>
      </c>
      <c r="L18" s="123" t="str">
        <f t="shared" si="4"/>
        <v/>
      </c>
      <c r="M18" s="134"/>
      <c r="N18" s="135">
        <v>0.375</v>
      </c>
      <c r="O18" s="130"/>
      <c r="P18" s="131"/>
      <c r="Q18" s="131"/>
      <c r="R18" s="131"/>
      <c r="S18" s="131"/>
      <c r="T18" s="131"/>
      <c r="U18" s="131"/>
      <c r="V18" s="133"/>
      <c r="W18" s="95"/>
      <c r="X18" s="34" t="b">
        <f>IF(Y18="○",TRUE,OR(WEEKDAY($A18)=7,WEEKDAY($A18)=1))</f>
        <v>0</v>
      </c>
      <c r="Y18" s="34"/>
      <c r="Z18" s="34"/>
      <c r="AC18" s="6"/>
      <c r="AD18" s="6"/>
    </row>
    <row r="19" spans="1:30" s="24" customFormat="1" ht="21" customHeight="1">
      <c r="A19" s="125">
        <v>43505</v>
      </c>
      <c r="B19" s="126" t="s">
        <v>101</v>
      </c>
      <c r="C19" s="113"/>
      <c r="D19" s="114"/>
      <c r="E19" s="127"/>
      <c r="F19" s="128"/>
      <c r="G19" s="129"/>
      <c r="H19" s="119" t="str">
        <f t="shared" si="0"/>
        <v/>
      </c>
      <c r="I19" s="120" t="str">
        <f t="shared" si="1"/>
        <v/>
      </c>
      <c r="J19" s="121" t="str">
        <f t="shared" si="2"/>
        <v/>
      </c>
      <c r="K19" s="122" t="str">
        <f t="shared" si="3"/>
        <v/>
      </c>
      <c r="L19" s="123" t="str">
        <f t="shared" si="4"/>
        <v/>
      </c>
      <c r="M19" s="134"/>
      <c r="N19" s="135">
        <v>0.375</v>
      </c>
      <c r="O19" s="153"/>
      <c r="P19" s="131"/>
      <c r="Q19" s="131"/>
      <c r="R19" s="131"/>
      <c r="S19" s="131"/>
      <c r="T19" s="131"/>
      <c r="U19" s="131"/>
      <c r="V19" s="133"/>
      <c r="W19" s="95"/>
      <c r="X19" s="34" t="b">
        <f t="shared" si="5"/>
        <v>0</v>
      </c>
      <c r="Y19" s="34"/>
      <c r="Z19" s="34"/>
      <c r="AC19" s="6"/>
      <c r="AD19" s="6"/>
    </row>
    <row r="20" spans="1:30" s="24" customFormat="1" ht="21" customHeight="1">
      <c r="A20" s="136">
        <v>43506</v>
      </c>
      <c r="B20" s="137" t="s">
        <v>102</v>
      </c>
      <c r="C20" s="138"/>
      <c r="D20" s="139"/>
      <c r="E20" s="140"/>
      <c r="F20" s="141"/>
      <c r="G20" s="142"/>
      <c r="H20" s="192" t="str">
        <f t="shared" si="0"/>
        <v/>
      </c>
      <c r="I20" s="193" t="str">
        <f t="shared" si="1"/>
        <v/>
      </c>
      <c r="J20" s="194" t="str">
        <f t="shared" si="2"/>
        <v/>
      </c>
      <c r="K20" s="195" t="str">
        <f t="shared" si="3"/>
        <v/>
      </c>
      <c r="L20" s="196" t="str">
        <f t="shared" si="4"/>
        <v/>
      </c>
      <c r="M20" s="140"/>
      <c r="N20" s="143">
        <v>0.375</v>
      </c>
      <c r="O20" s="144"/>
      <c r="P20" s="145"/>
      <c r="Q20" s="145"/>
      <c r="R20" s="145"/>
      <c r="S20" s="145"/>
      <c r="T20" s="145"/>
      <c r="U20" s="145"/>
      <c r="V20" s="146"/>
      <c r="W20" s="95"/>
      <c r="X20" s="34" t="b">
        <f t="shared" si="5"/>
        <v>1</v>
      </c>
      <c r="Y20" s="34" t="s">
        <v>157</v>
      </c>
      <c r="Z20" s="34"/>
      <c r="AC20" s="6"/>
      <c r="AD20" s="6"/>
    </row>
    <row r="21" spans="1:30" s="24" customFormat="1" ht="21" customHeight="1">
      <c r="A21" s="136">
        <v>43507</v>
      </c>
      <c r="B21" s="137" t="s">
        <v>13</v>
      </c>
      <c r="C21" s="138"/>
      <c r="D21" s="139"/>
      <c r="E21" s="140"/>
      <c r="F21" s="141"/>
      <c r="G21" s="142"/>
      <c r="H21" s="192" t="str">
        <f t="shared" si="0"/>
        <v/>
      </c>
      <c r="I21" s="193" t="str">
        <f t="shared" si="1"/>
        <v/>
      </c>
      <c r="J21" s="194" t="str">
        <f t="shared" si="2"/>
        <v/>
      </c>
      <c r="K21" s="195" t="str">
        <f t="shared" si="3"/>
        <v/>
      </c>
      <c r="L21" s="196" t="str">
        <f t="shared" si="4"/>
        <v/>
      </c>
      <c r="M21" s="140">
        <v>4.1666666666666657E-2</v>
      </c>
      <c r="N21" s="143">
        <v>2.0816681711721685E-17</v>
      </c>
      <c r="O21" s="144"/>
      <c r="P21" s="145"/>
      <c r="Q21" s="145"/>
      <c r="R21" s="145"/>
      <c r="S21" s="145"/>
      <c r="T21" s="145"/>
      <c r="U21" s="145"/>
      <c r="V21" s="146"/>
      <c r="W21" s="95"/>
      <c r="X21" s="34" t="b">
        <f t="shared" si="5"/>
        <v>1</v>
      </c>
      <c r="Y21" s="34"/>
      <c r="Z21" s="34"/>
      <c r="AC21" s="6"/>
      <c r="AD21" s="6"/>
    </row>
    <row r="22" spans="1:30" s="24" customFormat="1" ht="21" customHeight="1">
      <c r="A22" s="125">
        <v>43508</v>
      </c>
      <c r="B22" s="126" t="s">
        <v>9</v>
      </c>
      <c r="C22" s="113"/>
      <c r="D22" s="200"/>
      <c r="E22" s="127"/>
      <c r="F22" s="128"/>
      <c r="G22" s="129"/>
      <c r="H22" s="119" t="str">
        <f t="shared" si="0"/>
        <v/>
      </c>
      <c r="I22" s="120" t="str">
        <f t="shared" si="1"/>
        <v/>
      </c>
      <c r="J22" s="121" t="str">
        <f t="shared" si="2"/>
        <v/>
      </c>
      <c r="K22" s="122" t="str">
        <f t="shared" si="3"/>
        <v/>
      </c>
      <c r="L22" s="123" t="str">
        <f t="shared" si="4"/>
        <v/>
      </c>
      <c r="M22" s="134"/>
      <c r="N22" s="135">
        <v>0</v>
      </c>
      <c r="O22" s="130"/>
      <c r="P22" s="131"/>
      <c r="Q22" s="131"/>
      <c r="R22" s="131"/>
      <c r="S22" s="131"/>
      <c r="T22" s="131"/>
      <c r="U22" s="131"/>
      <c r="V22" s="133"/>
      <c r="W22" s="95"/>
      <c r="X22" s="34" t="b">
        <f t="shared" si="5"/>
        <v>0</v>
      </c>
      <c r="Y22" s="34"/>
      <c r="Z22" s="34" t="str">
        <f t="shared" si="6"/>
        <v/>
      </c>
      <c r="AC22" s="6"/>
      <c r="AD22" s="6"/>
    </row>
    <row r="23" spans="1:30" s="24" customFormat="1" ht="21" customHeight="1">
      <c r="A23" s="125">
        <v>43509</v>
      </c>
      <c r="B23" s="126" t="s">
        <v>98</v>
      </c>
      <c r="C23" s="113"/>
      <c r="D23" s="200"/>
      <c r="E23" s="127"/>
      <c r="F23" s="128"/>
      <c r="G23" s="129"/>
      <c r="H23" s="119" t="str">
        <f t="shared" si="0"/>
        <v/>
      </c>
      <c r="I23" s="120" t="str">
        <f t="shared" si="1"/>
        <v/>
      </c>
      <c r="J23" s="121" t="str">
        <f t="shared" si="2"/>
        <v/>
      </c>
      <c r="K23" s="122" t="str">
        <f t="shared" si="3"/>
        <v/>
      </c>
      <c r="L23" s="123" t="str">
        <f t="shared" si="4"/>
        <v/>
      </c>
      <c r="M23" s="134">
        <v>4.1666666666666664E-2</v>
      </c>
      <c r="N23" s="135">
        <v>0</v>
      </c>
      <c r="O23" s="130"/>
      <c r="P23" s="131"/>
      <c r="Q23" s="131"/>
      <c r="R23" s="131"/>
      <c r="S23" s="131"/>
      <c r="T23" s="131"/>
      <c r="U23" s="131"/>
      <c r="V23" s="133"/>
      <c r="W23" s="95"/>
      <c r="X23" s="34" t="b">
        <f t="shared" si="5"/>
        <v>0</v>
      </c>
      <c r="Y23" s="34"/>
      <c r="Z23" s="34">
        <v>1</v>
      </c>
      <c r="AC23" s="6"/>
      <c r="AD23" s="6"/>
    </row>
    <row r="24" spans="1:30" s="24" customFormat="1" ht="21" customHeight="1">
      <c r="A24" s="125">
        <v>43510</v>
      </c>
      <c r="B24" s="126" t="s">
        <v>99</v>
      </c>
      <c r="C24" s="113"/>
      <c r="D24" s="114"/>
      <c r="E24" s="127"/>
      <c r="F24" s="128"/>
      <c r="G24" s="129"/>
      <c r="H24" s="119" t="str">
        <f t="shared" si="0"/>
        <v/>
      </c>
      <c r="I24" s="120" t="str">
        <f t="shared" si="1"/>
        <v/>
      </c>
      <c r="J24" s="121" t="str">
        <f t="shared" si="2"/>
        <v/>
      </c>
      <c r="K24" s="122" t="str">
        <f t="shared" si="3"/>
        <v/>
      </c>
      <c r="L24" s="123" t="str">
        <f t="shared" si="4"/>
        <v/>
      </c>
      <c r="M24" s="134"/>
      <c r="N24" s="135">
        <v>0</v>
      </c>
      <c r="O24" s="130"/>
      <c r="P24" s="131"/>
      <c r="Q24" s="131"/>
      <c r="R24" s="131"/>
      <c r="S24" s="131"/>
      <c r="T24" s="131"/>
      <c r="U24" s="131"/>
      <c r="V24" s="133"/>
      <c r="W24" s="95"/>
      <c r="X24" s="34" t="b">
        <f t="shared" si="5"/>
        <v>0</v>
      </c>
      <c r="Y24" s="34"/>
      <c r="Z24" s="34"/>
      <c r="AC24" s="6"/>
      <c r="AD24" s="6"/>
    </row>
    <row r="25" spans="1:30" s="24" customFormat="1" ht="21" customHeight="1">
      <c r="A25" s="125">
        <v>43511</v>
      </c>
      <c r="B25" s="126" t="s">
        <v>100</v>
      </c>
      <c r="C25" s="113"/>
      <c r="D25" s="114"/>
      <c r="E25" s="147"/>
      <c r="F25" s="148"/>
      <c r="G25" s="149"/>
      <c r="H25" s="119" t="str">
        <f t="shared" si="0"/>
        <v/>
      </c>
      <c r="I25" s="120" t="str">
        <f t="shared" si="1"/>
        <v/>
      </c>
      <c r="J25" s="121" t="str">
        <f t="shared" si="2"/>
        <v/>
      </c>
      <c r="K25" s="122" t="str">
        <f t="shared" si="3"/>
        <v/>
      </c>
      <c r="L25" s="123" t="str">
        <f t="shared" si="4"/>
        <v/>
      </c>
      <c r="M25" s="134"/>
      <c r="N25" s="135">
        <v>0.375</v>
      </c>
      <c r="O25" s="130"/>
      <c r="P25" s="150"/>
      <c r="Q25" s="150"/>
      <c r="R25" s="150"/>
      <c r="S25" s="150"/>
      <c r="T25" s="150"/>
      <c r="U25" s="150"/>
      <c r="V25" s="151"/>
      <c r="W25" s="95"/>
      <c r="X25" s="34" t="b">
        <f t="shared" si="5"/>
        <v>0</v>
      </c>
      <c r="Y25" s="34"/>
      <c r="Z25" s="34"/>
      <c r="AC25" s="6"/>
      <c r="AD25" s="6"/>
    </row>
    <row r="26" spans="1:30" s="24" customFormat="1" ht="21" customHeight="1">
      <c r="A26" s="125">
        <v>43512</v>
      </c>
      <c r="B26" s="126" t="s">
        <v>101</v>
      </c>
      <c r="C26" s="113"/>
      <c r="D26" s="114"/>
      <c r="E26" s="127"/>
      <c r="F26" s="128"/>
      <c r="G26" s="129"/>
      <c r="H26" s="119" t="str">
        <f t="shared" si="0"/>
        <v/>
      </c>
      <c r="I26" s="120" t="str">
        <f t="shared" si="1"/>
        <v/>
      </c>
      <c r="J26" s="121" t="str">
        <f t="shared" si="2"/>
        <v/>
      </c>
      <c r="K26" s="122" t="str">
        <f t="shared" si="3"/>
        <v/>
      </c>
      <c r="L26" s="123" t="str">
        <f t="shared" si="4"/>
        <v/>
      </c>
      <c r="M26" s="134"/>
      <c r="N26" s="135">
        <v>0.375</v>
      </c>
      <c r="O26" s="153"/>
      <c r="P26" s="131"/>
      <c r="Q26" s="131"/>
      <c r="R26" s="131"/>
      <c r="S26" s="131"/>
      <c r="T26" s="131"/>
      <c r="U26" s="131"/>
      <c r="V26" s="133"/>
      <c r="W26" s="95"/>
      <c r="X26" s="34" t="b">
        <f t="shared" si="5"/>
        <v>0</v>
      </c>
      <c r="Y26" s="34"/>
      <c r="Z26" s="34"/>
      <c r="AC26" s="6"/>
      <c r="AD26" s="6"/>
    </row>
    <row r="27" spans="1:30" s="24" customFormat="1" ht="21" customHeight="1">
      <c r="A27" s="136">
        <v>43513</v>
      </c>
      <c r="B27" s="137" t="s">
        <v>102</v>
      </c>
      <c r="C27" s="138"/>
      <c r="D27" s="139"/>
      <c r="E27" s="152"/>
      <c r="F27" s="142"/>
      <c r="G27" s="202"/>
      <c r="H27" s="192" t="str">
        <f t="shared" si="0"/>
        <v/>
      </c>
      <c r="I27" s="193" t="str">
        <f t="shared" si="1"/>
        <v/>
      </c>
      <c r="J27" s="194" t="str">
        <f t="shared" si="2"/>
        <v/>
      </c>
      <c r="K27" s="195" t="str">
        <f t="shared" si="3"/>
        <v/>
      </c>
      <c r="L27" s="196" t="str">
        <f t="shared" si="4"/>
        <v/>
      </c>
      <c r="M27" s="140"/>
      <c r="N27" s="143">
        <v>0.375</v>
      </c>
      <c r="O27" s="144"/>
      <c r="P27" s="145"/>
      <c r="Q27" s="145"/>
      <c r="R27" s="145"/>
      <c r="S27" s="145"/>
      <c r="T27" s="203"/>
      <c r="U27" s="145"/>
      <c r="V27" s="146"/>
      <c r="W27" s="95"/>
      <c r="X27" s="34" t="b">
        <f t="shared" si="5"/>
        <v>1</v>
      </c>
      <c r="Y27" s="34"/>
      <c r="Z27" s="34"/>
      <c r="AC27" s="6"/>
      <c r="AD27" s="6"/>
    </row>
    <row r="28" spans="1:30" s="24" customFormat="1" ht="21" customHeight="1">
      <c r="A28" s="136">
        <v>43514</v>
      </c>
      <c r="B28" s="137" t="s">
        <v>13</v>
      </c>
      <c r="C28" s="138"/>
      <c r="D28" s="139"/>
      <c r="E28" s="140"/>
      <c r="F28" s="141"/>
      <c r="G28" s="202"/>
      <c r="H28" s="192" t="str">
        <f t="shared" si="0"/>
        <v/>
      </c>
      <c r="I28" s="193" t="str">
        <f t="shared" si="1"/>
        <v/>
      </c>
      <c r="J28" s="194" t="str">
        <f t="shared" si="2"/>
        <v/>
      </c>
      <c r="K28" s="195" t="str">
        <f t="shared" si="3"/>
        <v/>
      </c>
      <c r="L28" s="196" t="str">
        <f t="shared" si="4"/>
        <v/>
      </c>
      <c r="M28" s="140"/>
      <c r="N28" s="143">
        <v>0.39583333333333337</v>
      </c>
      <c r="O28" s="198"/>
      <c r="P28" s="145"/>
      <c r="Q28" s="145"/>
      <c r="R28" s="203"/>
      <c r="S28" s="203"/>
      <c r="T28" s="203"/>
      <c r="U28" s="145"/>
      <c r="V28" s="146"/>
      <c r="W28" s="95"/>
      <c r="X28" s="34" t="b">
        <f t="shared" si="5"/>
        <v>1</v>
      </c>
      <c r="Y28" s="34"/>
      <c r="Z28" s="34">
        <f t="shared" si="6"/>
        <v>1</v>
      </c>
      <c r="AC28" s="6"/>
      <c r="AD28" s="6"/>
    </row>
    <row r="29" spans="1:30" s="24" customFormat="1" ht="21" customHeight="1">
      <c r="A29" s="125">
        <v>43515</v>
      </c>
      <c r="B29" s="126" t="s">
        <v>9</v>
      </c>
      <c r="C29" s="113"/>
      <c r="D29" s="114"/>
      <c r="E29" s="147"/>
      <c r="F29" s="128"/>
      <c r="G29" s="129"/>
      <c r="H29" s="119" t="str">
        <f t="shared" si="0"/>
        <v/>
      </c>
      <c r="I29" s="120" t="str">
        <f t="shared" si="1"/>
        <v/>
      </c>
      <c r="J29" s="121" t="str">
        <f t="shared" si="2"/>
        <v/>
      </c>
      <c r="K29" s="122" t="str">
        <f t="shared" si="3"/>
        <v/>
      </c>
      <c r="L29" s="123" t="str">
        <f t="shared" si="4"/>
        <v/>
      </c>
      <c r="M29" s="134"/>
      <c r="N29" s="135">
        <v>0</v>
      </c>
      <c r="O29" s="130"/>
      <c r="P29" s="131"/>
      <c r="Q29" s="131"/>
      <c r="R29" s="131"/>
      <c r="S29" s="131"/>
      <c r="T29" s="131"/>
      <c r="U29" s="131"/>
      <c r="V29" s="133"/>
      <c r="W29" s="95"/>
      <c r="X29" s="34" t="b">
        <f t="shared" si="5"/>
        <v>0</v>
      </c>
      <c r="Y29" s="34"/>
      <c r="Z29" s="34" t="str">
        <f t="shared" si="6"/>
        <v/>
      </c>
      <c r="AC29" s="6"/>
      <c r="AD29" s="6"/>
    </row>
    <row r="30" spans="1:30" s="24" customFormat="1" ht="21" customHeight="1">
      <c r="A30" s="125">
        <v>43516</v>
      </c>
      <c r="B30" s="126" t="s">
        <v>98</v>
      </c>
      <c r="C30" s="113"/>
      <c r="D30" s="114"/>
      <c r="E30" s="127"/>
      <c r="F30" s="128"/>
      <c r="G30" s="129"/>
      <c r="H30" s="119" t="str">
        <f t="shared" si="0"/>
        <v/>
      </c>
      <c r="I30" s="120" t="str">
        <f t="shared" si="1"/>
        <v/>
      </c>
      <c r="J30" s="121" t="str">
        <f t="shared" si="2"/>
        <v/>
      </c>
      <c r="K30" s="122" t="str">
        <f t="shared" si="3"/>
        <v/>
      </c>
      <c r="L30" s="123" t="str">
        <f t="shared" si="4"/>
        <v/>
      </c>
      <c r="M30" s="134"/>
      <c r="N30" s="135">
        <v>0</v>
      </c>
      <c r="O30" s="130"/>
      <c r="P30" s="131"/>
      <c r="Q30" s="131"/>
      <c r="R30" s="131"/>
      <c r="S30" s="131"/>
      <c r="T30" s="131"/>
      <c r="U30" s="131"/>
      <c r="V30" s="133"/>
      <c r="W30" s="95"/>
      <c r="X30" s="34" t="b">
        <f t="shared" si="5"/>
        <v>0</v>
      </c>
      <c r="Y30" s="34"/>
      <c r="Z30" s="34">
        <v>1</v>
      </c>
      <c r="AC30" s="6"/>
      <c r="AD30" s="6"/>
    </row>
    <row r="31" spans="1:30" s="24" customFormat="1" ht="21" customHeight="1">
      <c r="A31" s="125">
        <v>43517</v>
      </c>
      <c r="B31" s="126" t="s">
        <v>99</v>
      </c>
      <c r="C31" s="113"/>
      <c r="D31" s="114"/>
      <c r="E31" s="127"/>
      <c r="F31" s="128"/>
      <c r="G31" s="129"/>
      <c r="H31" s="119" t="str">
        <f t="shared" si="0"/>
        <v/>
      </c>
      <c r="I31" s="120" t="str">
        <f t="shared" si="1"/>
        <v/>
      </c>
      <c r="J31" s="121" t="str">
        <f t="shared" si="2"/>
        <v/>
      </c>
      <c r="K31" s="122" t="str">
        <f t="shared" si="3"/>
        <v/>
      </c>
      <c r="L31" s="123" t="str">
        <f t="shared" si="4"/>
        <v/>
      </c>
      <c r="M31" s="134"/>
      <c r="N31" s="135">
        <v>0.375</v>
      </c>
      <c r="O31" s="153"/>
      <c r="P31" s="131"/>
      <c r="Q31" s="131"/>
      <c r="R31" s="150"/>
      <c r="S31" s="150"/>
      <c r="T31" s="150"/>
      <c r="U31" s="131"/>
      <c r="V31" s="133"/>
      <c r="W31" s="95"/>
      <c r="X31" s="34" t="b">
        <f t="shared" si="5"/>
        <v>0</v>
      </c>
      <c r="Y31" s="34"/>
      <c r="Z31" s="34"/>
      <c r="AC31" s="6"/>
      <c r="AD31" s="6"/>
    </row>
    <row r="32" spans="1:30" s="24" customFormat="1" ht="21" customHeight="1">
      <c r="A32" s="125">
        <v>43518</v>
      </c>
      <c r="B32" s="126" t="s">
        <v>100</v>
      </c>
      <c r="C32" s="113"/>
      <c r="D32" s="114"/>
      <c r="E32" s="147"/>
      <c r="F32" s="128"/>
      <c r="G32" s="129"/>
      <c r="H32" s="119" t="str">
        <f t="shared" si="0"/>
        <v/>
      </c>
      <c r="I32" s="120" t="str">
        <f t="shared" si="1"/>
        <v/>
      </c>
      <c r="J32" s="121" t="str">
        <f t="shared" si="2"/>
        <v/>
      </c>
      <c r="K32" s="122" t="str">
        <f t="shared" si="3"/>
        <v/>
      </c>
      <c r="L32" s="123" t="str">
        <f t="shared" si="4"/>
        <v/>
      </c>
      <c r="M32" s="134"/>
      <c r="N32" s="135">
        <v>0.375</v>
      </c>
      <c r="O32" s="153"/>
      <c r="P32" s="131"/>
      <c r="Q32" s="131"/>
      <c r="R32" s="131"/>
      <c r="S32" s="131"/>
      <c r="T32" s="131"/>
      <c r="U32" s="131"/>
      <c r="V32" s="133"/>
      <c r="W32" s="95"/>
      <c r="X32" s="34" t="b">
        <f t="shared" si="5"/>
        <v>0</v>
      </c>
      <c r="Y32" s="34"/>
      <c r="Z32" s="34"/>
      <c r="AC32" s="6"/>
      <c r="AD32" s="6"/>
    </row>
    <row r="33" spans="1:30" s="24" customFormat="1" ht="21" customHeight="1">
      <c r="A33" s="125">
        <v>43519</v>
      </c>
      <c r="B33" s="126" t="s">
        <v>101</v>
      </c>
      <c r="C33" s="113"/>
      <c r="D33" s="114"/>
      <c r="E33" s="147"/>
      <c r="F33" s="128"/>
      <c r="G33" s="129"/>
      <c r="H33" s="119" t="str">
        <f t="shared" si="0"/>
        <v/>
      </c>
      <c r="I33" s="120" t="str">
        <f t="shared" si="1"/>
        <v/>
      </c>
      <c r="J33" s="121" t="str">
        <f t="shared" si="2"/>
        <v/>
      </c>
      <c r="K33" s="122" t="str">
        <f t="shared" si="3"/>
        <v/>
      </c>
      <c r="L33" s="123" t="str">
        <f t="shared" si="4"/>
        <v/>
      </c>
      <c r="M33" s="134"/>
      <c r="N33" s="135">
        <v>0.375</v>
      </c>
      <c r="O33" s="153"/>
      <c r="P33" s="131"/>
      <c r="Q33" s="131"/>
      <c r="R33" s="131"/>
      <c r="S33" s="131"/>
      <c r="T33" s="154"/>
      <c r="U33" s="131"/>
      <c r="V33" s="133"/>
      <c r="W33" s="95"/>
      <c r="X33" s="34" t="b">
        <f t="shared" si="5"/>
        <v>0</v>
      </c>
      <c r="Y33" s="34"/>
      <c r="Z33" s="34"/>
      <c r="AC33" s="6"/>
      <c r="AD33" s="6"/>
    </row>
    <row r="34" spans="1:30" s="24" customFormat="1" ht="21" customHeight="1">
      <c r="A34" s="136">
        <v>43520</v>
      </c>
      <c r="B34" s="137" t="s">
        <v>102</v>
      </c>
      <c r="C34" s="138"/>
      <c r="D34" s="139"/>
      <c r="E34" s="152"/>
      <c r="F34" s="141"/>
      <c r="G34" s="142"/>
      <c r="H34" s="192" t="str">
        <f t="shared" si="0"/>
        <v/>
      </c>
      <c r="I34" s="193" t="str">
        <f t="shared" si="1"/>
        <v/>
      </c>
      <c r="J34" s="194" t="str">
        <f t="shared" si="2"/>
        <v/>
      </c>
      <c r="K34" s="195" t="str">
        <f t="shared" si="3"/>
        <v/>
      </c>
      <c r="L34" s="196" t="str">
        <f t="shared" si="4"/>
        <v/>
      </c>
      <c r="M34" s="140"/>
      <c r="N34" s="143">
        <v>0.375</v>
      </c>
      <c r="O34" s="198"/>
      <c r="P34" s="145"/>
      <c r="Q34" s="145"/>
      <c r="R34" s="145"/>
      <c r="S34" s="145"/>
      <c r="T34" s="145"/>
      <c r="U34" s="145"/>
      <c r="V34" s="146"/>
      <c r="W34" s="95"/>
      <c r="X34" s="34" t="b">
        <f t="shared" si="5"/>
        <v>1</v>
      </c>
      <c r="Y34" s="34"/>
      <c r="Z34" s="34"/>
      <c r="AC34" s="6"/>
      <c r="AD34" s="6"/>
    </row>
    <row r="35" spans="1:30" s="24" customFormat="1" ht="21" customHeight="1">
      <c r="A35" s="136">
        <v>43521</v>
      </c>
      <c r="B35" s="137" t="s">
        <v>13</v>
      </c>
      <c r="C35" s="138"/>
      <c r="D35" s="139"/>
      <c r="E35" s="140"/>
      <c r="F35" s="141"/>
      <c r="G35" s="202"/>
      <c r="H35" s="192" t="str">
        <f t="shared" si="0"/>
        <v/>
      </c>
      <c r="I35" s="193" t="str">
        <f t="shared" si="1"/>
        <v/>
      </c>
      <c r="J35" s="194" t="str">
        <f t="shared" si="2"/>
        <v/>
      </c>
      <c r="K35" s="195" t="str">
        <f t="shared" si="3"/>
        <v/>
      </c>
      <c r="L35" s="196" t="str">
        <f t="shared" si="4"/>
        <v/>
      </c>
      <c r="M35" s="140"/>
      <c r="N35" s="143">
        <v>0.375</v>
      </c>
      <c r="O35" s="144"/>
      <c r="P35" s="145"/>
      <c r="Q35" s="145"/>
      <c r="R35" s="145"/>
      <c r="S35" s="145"/>
      <c r="T35" s="145"/>
      <c r="U35" s="145"/>
      <c r="V35" s="146"/>
      <c r="W35" s="95"/>
      <c r="X35" s="34" t="b">
        <f t="shared" si="5"/>
        <v>1</v>
      </c>
      <c r="Y35" s="34"/>
      <c r="Z35" s="34">
        <f t="shared" si="6"/>
        <v>1</v>
      </c>
      <c r="AC35" s="6"/>
      <c r="AD35" s="6"/>
    </row>
    <row r="36" spans="1:30" s="24" customFormat="1" ht="21" customHeight="1">
      <c r="A36" s="125">
        <v>43522</v>
      </c>
      <c r="B36" s="126" t="s">
        <v>9</v>
      </c>
      <c r="C36" s="113"/>
      <c r="D36" s="114"/>
      <c r="E36" s="127"/>
      <c r="F36" s="128"/>
      <c r="G36" s="149"/>
      <c r="H36" s="119" t="str">
        <f t="shared" si="0"/>
        <v/>
      </c>
      <c r="I36" s="120" t="str">
        <f t="shared" si="1"/>
        <v/>
      </c>
      <c r="J36" s="121" t="str">
        <f t="shared" si="2"/>
        <v/>
      </c>
      <c r="K36" s="122" t="str">
        <f t="shared" si="3"/>
        <v/>
      </c>
      <c r="L36" s="123" t="str">
        <f t="shared" si="4"/>
        <v/>
      </c>
      <c r="M36" s="134"/>
      <c r="N36" s="135">
        <v>0</v>
      </c>
      <c r="O36" s="130"/>
      <c r="P36" s="131"/>
      <c r="Q36" s="131"/>
      <c r="R36" s="131"/>
      <c r="S36" s="131"/>
      <c r="T36" s="131"/>
      <c r="U36" s="131"/>
      <c r="V36" s="133"/>
      <c r="W36" s="95"/>
      <c r="X36" s="34" t="b">
        <f t="shared" si="5"/>
        <v>0</v>
      </c>
      <c r="Y36" s="34"/>
      <c r="Z36" s="34" t="str">
        <f t="shared" si="6"/>
        <v/>
      </c>
      <c r="AC36" s="6"/>
      <c r="AD36" s="6"/>
    </row>
    <row r="37" spans="1:30" s="24" customFormat="1" ht="21" customHeight="1">
      <c r="A37" s="125">
        <v>43523</v>
      </c>
      <c r="B37" s="126" t="s">
        <v>98</v>
      </c>
      <c r="C37" s="113"/>
      <c r="D37" s="114"/>
      <c r="E37" s="127"/>
      <c r="F37" s="128"/>
      <c r="G37" s="149"/>
      <c r="H37" s="119" t="str">
        <f t="shared" si="0"/>
        <v/>
      </c>
      <c r="I37" s="120" t="str">
        <f t="shared" si="1"/>
        <v/>
      </c>
      <c r="J37" s="121" t="str">
        <f t="shared" si="2"/>
        <v/>
      </c>
      <c r="K37" s="122" t="str">
        <f t="shared" si="3"/>
        <v/>
      </c>
      <c r="L37" s="123" t="str">
        <f t="shared" si="4"/>
        <v/>
      </c>
      <c r="M37" s="134"/>
      <c r="N37" s="135">
        <v>0</v>
      </c>
      <c r="O37" s="130"/>
      <c r="P37" s="131"/>
      <c r="Q37" s="131"/>
      <c r="R37" s="131"/>
      <c r="S37" s="131"/>
      <c r="T37" s="131"/>
      <c r="U37" s="131"/>
      <c r="V37" s="133"/>
      <c r="W37" s="95"/>
      <c r="X37" s="34" t="b">
        <f t="shared" si="5"/>
        <v>0</v>
      </c>
      <c r="Y37" s="34"/>
      <c r="Z37" s="34" t="str">
        <f t="shared" si="6"/>
        <v/>
      </c>
      <c r="AC37" s="6"/>
      <c r="AD37" s="6"/>
    </row>
    <row r="38" spans="1:30" s="24" customFormat="1" ht="21" customHeight="1">
      <c r="A38" s="171"/>
      <c r="B38" s="172"/>
      <c r="C38" s="164"/>
      <c r="D38" s="165"/>
      <c r="E38" s="173"/>
      <c r="F38" s="174"/>
      <c r="G38" s="180"/>
      <c r="H38" s="166" t="str">
        <f t="shared" si="0"/>
        <v/>
      </c>
      <c r="I38" s="167" t="str">
        <f t="shared" si="1"/>
        <v/>
      </c>
      <c r="J38" s="168" t="str">
        <f t="shared" si="2"/>
        <v/>
      </c>
      <c r="K38" s="169" t="str">
        <f t="shared" si="3"/>
        <v/>
      </c>
      <c r="L38" s="170" t="str">
        <f t="shared" si="4"/>
        <v/>
      </c>
      <c r="M38" s="173"/>
      <c r="N38" s="179">
        <v>0</v>
      </c>
      <c r="O38" s="178"/>
      <c r="P38" s="176"/>
      <c r="Q38" s="176"/>
      <c r="R38" s="176"/>
      <c r="S38" s="176"/>
      <c r="T38" s="176"/>
      <c r="U38" s="176"/>
      <c r="V38" s="177"/>
      <c r="W38" s="95"/>
      <c r="X38" s="34" t="b">
        <f>IF(Y38="○",TRUE,OR(WEEKDAY($A38)=7,WEEKDAY($A38)=1))</f>
        <v>0</v>
      </c>
      <c r="Y38" s="34"/>
      <c r="Z38" s="34">
        <v>1</v>
      </c>
      <c r="AC38" s="6"/>
      <c r="AD38" s="6"/>
    </row>
    <row r="39" spans="1:30" s="24" customFormat="1" ht="21" customHeight="1">
      <c r="A39" s="171"/>
      <c r="B39" s="172"/>
      <c r="C39" s="164"/>
      <c r="D39" s="165"/>
      <c r="E39" s="173"/>
      <c r="F39" s="174"/>
      <c r="G39" s="175"/>
      <c r="H39" s="166" t="str">
        <f t="shared" si="0"/>
        <v/>
      </c>
      <c r="I39" s="167" t="str">
        <f t="shared" si="1"/>
        <v/>
      </c>
      <c r="J39" s="168" t="str">
        <f t="shared" si="2"/>
        <v/>
      </c>
      <c r="K39" s="169" t="str">
        <f t="shared" si="3"/>
        <v/>
      </c>
      <c r="L39" s="170" t="str">
        <f t="shared" si="4"/>
        <v/>
      </c>
      <c r="M39" s="173"/>
      <c r="N39" s="179">
        <v>0</v>
      </c>
      <c r="O39" s="178"/>
      <c r="P39" s="176"/>
      <c r="Q39" s="176"/>
      <c r="R39" s="176"/>
      <c r="S39" s="176"/>
      <c r="T39" s="181"/>
      <c r="U39" s="176"/>
      <c r="V39" s="177"/>
      <c r="W39" s="95"/>
      <c r="X39" s="34" t="b">
        <f t="shared" si="5"/>
        <v>0</v>
      </c>
      <c r="Y39" s="34"/>
      <c r="Z39" s="34">
        <v>1</v>
      </c>
      <c r="AC39" s="6"/>
      <c r="AD39" s="6"/>
    </row>
    <row r="40" spans="1:30" s="24" customFormat="1" ht="21" customHeight="1">
      <c r="A40" s="182"/>
      <c r="B40" s="183"/>
      <c r="C40" s="184"/>
      <c r="D40" s="185"/>
      <c r="E40" s="185"/>
      <c r="F40" s="186"/>
      <c r="G40" s="187"/>
      <c r="H40" s="166" t="str">
        <f t="shared" si="0"/>
        <v/>
      </c>
      <c r="I40" s="167" t="str">
        <f t="shared" si="1"/>
        <v/>
      </c>
      <c r="J40" s="168" t="str">
        <f t="shared" si="2"/>
        <v/>
      </c>
      <c r="K40" s="169" t="str">
        <f t="shared" si="3"/>
        <v/>
      </c>
      <c r="L40" s="170" t="str">
        <f t="shared" si="4"/>
        <v/>
      </c>
      <c r="M40" s="185"/>
      <c r="N40" s="188">
        <v>0</v>
      </c>
      <c r="O40" s="189"/>
      <c r="P40" s="190"/>
      <c r="Q40" s="190"/>
      <c r="R40" s="190"/>
      <c r="S40" s="190"/>
      <c r="T40" s="190"/>
      <c r="U40" s="190"/>
      <c r="V40" s="191"/>
      <c r="W40" s="95"/>
      <c r="X40" s="34" t="b">
        <f t="shared" si="5"/>
        <v>0</v>
      </c>
      <c r="Y40" s="34"/>
      <c r="Z40" s="34">
        <v>1</v>
      </c>
      <c r="AC40" s="6"/>
      <c r="AD40" s="6"/>
    </row>
    <row r="41" spans="1:30" s="24" customFormat="1" ht="21" customHeight="1">
      <c r="A41" s="30"/>
      <c r="D41" s="35"/>
      <c r="E41" s="36">
        <f>SUM(E10:E40)-E42</f>
        <v>-0.12500000000000003</v>
      </c>
      <c r="F41" s="94">
        <f>COUNTIF(F10:F40,"○")</f>
        <v>0</v>
      </c>
      <c r="G41" s="93">
        <f>COUNTIF(G10:G40,"○")</f>
        <v>0</v>
      </c>
      <c r="H41" s="92">
        <f>COUNTIF(H10:H40,"○")</f>
        <v>1</v>
      </c>
      <c r="I41" s="37">
        <f>SUM(I10:I40)</f>
        <v>0</v>
      </c>
      <c r="J41" s="37">
        <f>SUM(J10:J40)</f>
        <v>0</v>
      </c>
      <c r="K41" s="37">
        <f>SUM(K10:K40)</f>
        <v>0</v>
      </c>
      <c r="L41" s="37">
        <f>SUM(L10:L40)</f>
        <v>0</v>
      </c>
      <c r="M41" s="37" t="s">
        <v>32</v>
      </c>
      <c r="N41" s="38">
        <v>0</v>
      </c>
      <c r="O41" s="30"/>
      <c r="P41" s="30"/>
      <c r="Q41" s="30"/>
      <c r="R41" s="30"/>
      <c r="S41" s="30"/>
      <c r="T41" s="30"/>
      <c r="U41" s="30"/>
      <c r="V41" s="30"/>
      <c r="W41" s="83"/>
      <c r="X41" s="98">
        <f>COUNTIF(X10:X40,FALSE)</f>
        <v>23</v>
      </c>
      <c r="Y41" s="105"/>
      <c r="Z41" s="97"/>
      <c r="AC41" s="6"/>
      <c r="AD41" s="6"/>
    </row>
    <row r="42" spans="1:30" s="30" customFormat="1" ht="21" customHeight="1">
      <c r="B42" s="24"/>
      <c r="C42" s="24"/>
      <c r="D42" s="39"/>
      <c r="E42" s="40"/>
      <c r="F42" s="41"/>
      <c r="G42" s="41"/>
      <c r="H42" s="41"/>
      <c r="I42" s="14"/>
      <c r="J42" s="14"/>
      <c r="K42" s="14"/>
      <c r="L42" s="14"/>
      <c r="M42" s="14"/>
      <c r="N42" s="14">
        <v>0</v>
      </c>
      <c r="W42" s="14"/>
      <c r="X42" s="24"/>
      <c r="Y42" s="24"/>
      <c r="Z42" s="24"/>
      <c r="AA42" s="24"/>
      <c r="AB42" s="6"/>
      <c r="AC42" s="6"/>
      <c r="AD42" s="6"/>
    </row>
    <row r="43" spans="1:30" s="30" customFormat="1" ht="21" customHeight="1">
      <c r="B43" s="24"/>
      <c r="C43" s="24"/>
      <c r="D43" s="84"/>
      <c r="E43" s="28" t="s">
        <v>33</v>
      </c>
      <c r="F43" s="41"/>
      <c r="G43" s="41"/>
      <c r="H43" s="41"/>
      <c r="I43" s="14"/>
      <c r="J43" s="14"/>
      <c r="K43" s="14"/>
      <c r="L43" s="14"/>
      <c r="M43" s="14"/>
      <c r="N43" s="14">
        <v>0</v>
      </c>
      <c r="S43" s="28" t="s">
        <v>34</v>
      </c>
      <c r="W43" s="14"/>
      <c r="X43" s="24"/>
      <c r="Y43" s="24"/>
      <c r="Z43" s="24"/>
      <c r="AA43" s="24"/>
      <c r="AB43" s="6"/>
      <c r="AC43" s="6"/>
      <c r="AD43" s="6"/>
    </row>
    <row r="44" spans="1:30" s="30" customFormat="1" ht="21" customHeight="1">
      <c r="A44" s="7"/>
      <c r="D44" s="28"/>
      <c r="E44" s="42" t="s">
        <v>35</v>
      </c>
      <c r="F44" s="217" t="s">
        <v>28</v>
      </c>
      <c r="G44" s="217"/>
      <c r="H44" s="218" t="s">
        <v>36</v>
      </c>
      <c r="I44" s="218"/>
      <c r="J44" s="218" t="s">
        <v>37</v>
      </c>
      <c r="K44" s="218"/>
      <c r="L44" s="218" t="s">
        <v>38</v>
      </c>
      <c r="M44" s="218"/>
      <c r="N44" s="218">
        <v>0</v>
      </c>
      <c r="O44" s="218"/>
      <c r="P44" s="28"/>
      <c r="Q44" s="28"/>
      <c r="R44" s="24"/>
      <c r="S44" s="43" t="s">
        <v>40</v>
      </c>
      <c r="T44" s="43" t="s">
        <v>41</v>
      </c>
      <c r="U44" s="43" t="s">
        <v>42</v>
      </c>
      <c r="V44" s="43" t="s">
        <v>43</v>
      </c>
      <c r="W44" s="28"/>
      <c r="X44" s="24"/>
      <c r="Y44" s="24"/>
      <c r="Z44" s="24"/>
      <c r="AA44" s="24"/>
      <c r="AB44" s="6"/>
      <c r="AC44" s="6"/>
      <c r="AD44" s="6"/>
    </row>
    <row r="45" spans="1:30" s="30" customFormat="1" ht="21" customHeight="1">
      <c r="D45" s="84"/>
      <c r="E45" s="81">
        <f>E41-F45</f>
        <v>0</v>
      </c>
      <c r="F45" s="219">
        <f>SUMIF(H10:H40,"○",E10:E40)</f>
        <v>-0.12500000000000003</v>
      </c>
      <c r="G45" s="219"/>
      <c r="H45" s="220">
        <v>0</v>
      </c>
      <c r="I45" s="220"/>
      <c r="J45" s="221">
        <f>基本情報!J17</f>
        <v>27</v>
      </c>
      <c r="K45" s="221"/>
      <c r="L45" s="221">
        <f>E46-H46</f>
        <v>0</v>
      </c>
      <c r="M45" s="221"/>
      <c r="N45" s="221">
        <v>0</v>
      </c>
      <c r="O45" s="221"/>
      <c r="P45" s="44"/>
      <c r="Q45" s="44"/>
      <c r="R45" s="24"/>
      <c r="S45" s="79">
        <f>I41</f>
        <v>0</v>
      </c>
      <c r="T45" s="79">
        <f>J41</f>
        <v>0</v>
      </c>
      <c r="U45" s="79">
        <f>K41</f>
        <v>0</v>
      </c>
      <c r="V45" s="79">
        <f>L41</f>
        <v>0</v>
      </c>
      <c r="W45" s="28"/>
      <c r="X45" s="24"/>
      <c r="Y45" s="24"/>
      <c r="Z45" s="24"/>
      <c r="AA45" s="24"/>
      <c r="AB45" s="6"/>
      <c r="AC45" s="6"/>
      <c r="AD45" s="6"/>
    </row>
    <row r="46" spans="1:30" s="30" customFormat="1" ht="21" customHeight="1">
      <c r="D46" s="84" t="s">
        <v>44</v>
      </c>
      <c r="E46" s="80">
        <f>CEILING(ROUNDUP($E45*24/基本情報!$D$21,1),0.5)</f>
        <v>0</v>
      </c>
      <c r="F46" s="209">
        <f>CEILING(ROUNDUP($F45*24/基本情報!$D$21,1),0.5)</f>
        <v>-9</v>
      </c>
      <c r="G46" s="209"/>
      <c r="H46" s="210">
        <f>CEILING(ROUNDUP($H45*24/基本情報!$D$21,1),0.5)</f>
        <v>0</v>
      </c>
      <c r="I46" s="210"/>
      <c r="J46" s="28" t="s">
        <v>45</v>
      </c>
      <c r="K46" s="24"/>
      <c r="L46" s="24"/>
      <c r="M46" s="24"/>
      <c r="N46" s="24"/>
      <c r="O46" s="24"/>
      <c r="P46" s="44"/>
      <c r="Q46" s="44"/>
      <c r="R46" s="28" t="s">
        <v>46</v>
      </c>
      <c r="U46" s="24"/>
      <c r="W46" s="24"/>
      <c r="X46" s="24"/>
      <c r="Y46" s="24"/>
      <c r="Z46" s="24"/>
      <c r="AA46" s="24"/>
      <c r="AB46" s="6"/>
      <c r="AC46" s="6"/>
      <c r="AD46" s="6"/>
    </row>
    <row r="47" spans="1:30" s="30" customFormat="1" ht="21" customHeight="1">
      <c r="D47" s="24"/>
      <c r="F47" s="24"/>
      <c r="G47" s="24"/>
      <c r="H47" s="24"/>
      <c r="I47" s="24"/>
      <c r="P47" s="24"/>
      <c r="Q47" s="24"/>
      <c r="R47" s="24"/>
      <c r="S47" s="24"/>
      <c r="T47" s="24"/>
      <c r="U47" s="24"/>
      <c r="V47" s="15" t="s">
        <v>47</v>
      </c>
      <c r="W47" s="24"/>
      <c r="X47" s="24"/>
      <c r="Y47" s="24"/>
      <c r="Z47" s="24"/>
      <c r="AA47" s="24"/>
      <c r="AB47" s="6"/>
      <c r="AC47" s="6"/>
      <c r="AD47" s="6"/>
    </row>
    <row r="48" spans="1:30" s="30" customFormat="1" ht="17.25">
      <c r="A48" s="7"/>
      <c r="B48" s="6"/>
      <c r="C48" s="82"/>
      <c r="D48" s="82"/>
      <c r="E48" s="82"/>
      <c r="F48" s="41"/>
      <c r="G48" s="6"/>
      <c r="H48" s="6"/>
      <c r="I48" s="6"/>
      <c r="P48" s="6"/>
      <c r="Q48" s="6"/>
      <c r="R48" s="6"/>
      <c r="S48" s="6"/>
      <c r="T48" s="6"/>
      <c r="U48" s="6"/>
      <c r="V48" s="6"/>
      <c r="W48" s="24"/>
      <c r="X48" s="6"/>
      <c r="Y48" s="6"/>
      <c r="Z48" s="6"/>
      <c r="AA48" s="24"/>
      <c r="AB48" s="6"/>
      <c r="AC48" s="6"/>
      <c r="AD48" s="6"/>
    </row>
    <row r="49" spans="3:6" ht="30" customHeight="1">
      <c r="C49" s="82"/>
      <c r="D49" s="82"/>
      <c r="E49" s="82"/>
      <c r="F49" s="82"/>
    </row>
    <row r="50" spans="3:6" ht="30" customHeight="1">
      <c r="C50" s="82"/>
      <c r="D50" s="82"/>
      <c r="E50" s="82"/>
    </row>
    <row r="51" spans="3:6" ht="30" customHeight="1">
      <c r="C51" s="24"/>
      <c r="D51" s="30"/>
      <c r="E51" s="30"/>
    </row>
    <row r="52" spans="3:6" ht="30" customHeight="1">
      <c r="C52" s="30"/>
      <c r="D52" s="83"/>
      <c r="E52" s="83"/>
    </row>
    <row r="53" spans="3:6" ht="30" customHeight="1">
      <c r="C53" s="30"/>
      <c r="D53" s="41"/>
      <c r="E53" s="41"/>
    </row>
    <row r="54" spans="3:6" ht="30" customHeight="1">
      <c r="D54" s="82"/>
      <c r="E54" s="82"/>
    </row>
  </sheetData>
  <dataConsolidate/>
  <mergeCells count="26">
    <mergeCell ref="F46:G46"/>
    <mergeCell ref="H46:I46"/>
    <mergeCell ref="U3:V3"/>
    <mergeCell ref="J5:M5"/>
    <mergeCell ref="F8:H8"/>
    <mergeCell ref="I8:L8"/>
    <mergeCell ref="F44:G44"/>
    <mergeCell ref="H44:I44"/>
    <mergeCell ref="J44:K44"/>
    <mergeCell ref="L44:M44"/>
    <mergeCell ref="N44:O44"/>
    <mergeCell ref="F45:G45"/>
    <mergeCell ref="H45:I45"/>
    <mergeCell ref="J45:K45"/>
    <mergeCell ref="L45:M45"/>
    <mergeCell ref="N45:O45"/>
    <mergeCell ref="X8:X9"/>
    <mergeCell ref="Y8:Y9"/>
    <mergeCell ref="Z8:Z9"/>
    <mergeCell ref="O8:V9"/>
    <mergeCell ref="A8:A9"/>
    <mergeCell ref="B8:B9"/>
    <mergeCell ref="C8:C9"/>
    <mergeCell ref="D8:D9"/>
    <mergeCell ref="M8:M9"/>
    <mergeCell ref="N8:N9"/>
  </mergeCells>
  <phoneticPr fontId="20"/>
  <conditionalFormatting sqref="N10:N16 M10:M13 S13 H10:L40">
    <cfRule type="expression" dxfId="1" priority="19" stopIfTrue="1">
      <formula>$Y10&lt;&gt;""</formula>
    </cfRule>
    <cfRule type="expression" dxfId="0" priority="20" stopIfTrue="1">
      <formula>OR(WEEKDAY($A10)=7,WEEKDAY($A10)=1)</formula>
    </cfRule>
  </conditionalFormatting>
  <pageMargins left="0.57986111111111116" right="0.2" top="0.74791666666666667" bottom="0.74791666666666667" header="0.31458333333333333" footer="0.31458333333333333"/>
  <pageSetup paperSize="9" scale="73" firstPageNumber="4294963191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入力内容チェック">
                <anchor moveWithCells="1" sizeWithCells="1">
                  <from>
                    <xdr:col>14</xdr:col>
                    <xdr:colOff>171450</xdr:colOff>
                    <xdr:row>1</xdr:row>
                    <xdr:rowOff>209550</xdr:rowOff>
                  </from>
                  <to>
                    <xdr:col>19</xdr:col>
                    <xdr:colOff>266700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V25"/>
  <sheetViews>
    <sheetView zoomScale="85" zoomScaleSheetLayoutView="100" workbookViewId="0">
      <selection activeCell="D21" sqref="D21"/>
    </sheetView>
  </sheetViews>
  <sheetFormatPr defaultColWidth="9" defaultRowHeight="13.5" customHeight="1"/>
  <cols>
    <col min="1" max="2" width="2.625" customWidth="1"/>
    <col min="3" max="3" width="19" customWidth="1"/>
    <col min="4" max="4" width="8.5" customWidth="1"/>
    <col min="5" max="5" width="10.625" customWidth="1"/>
    <col min="7" max="8" width="7.5" customWidth="1"/>
    <col min="9" max="9" width="9" bestFit="1" customWidth="1"/>
    <col min="10" max="14" width="7.5" customWidth="1"/>
    <col min="15" max="15" width="5" customWidth="1"/>
    <col min="17" max="17" width="14.625" customWidth="1"/>
  </cols>
  <sheetData>
    <row r="1" spans="1:22" ht="13.5" customHeight="1">
      <c r="A1" s="158"/>
    </row>
    <row r="2" spans="1:22" ht="13.5" customHeight="1">
      <c r="P2" t="s">
        <v>155</v>
      </c>
      <c r="S2" s="160"/>
      <c r="V2" s="160"/>
    </row>
    <row r="3" spans="1:22" ht="13.5" customHeight="1">
      <c r="B3" s="45" t="s">
        <v>49</v>
      </c>
      <c r="C3" s="57"/>
      <c r="D3" s="58"/>
      <c r="P3" s="155" t="s">
        <v>127</v>
      </c>
      <c r="Q3" s="155" t="s">
        <v>103</v>
      </c>
      <c r="R3" s="155" t="s">
        <v>14</v>
      </c>
      <c r="S3" s="155" t="s">
        <v>104</v>
      </c>
      <c r="U3" s="160" t="s">
        <v>156</v>
      </c>
    </row>
    <row r="4" spans="1:22" ht="13.5" customHeight="1">
      <c r="B4" s="85"/>
      <c r="C4" s="53" t="s">
        <v>50</v>
      </c>
      <c r="D4" s="61">
        <v>43497</v>
      </c>
      <c r="P4" s="156">
        <v>1</v>
      </c>
      <c r="Q4" s="159" t="s">
        <v>154</v>
      </c>
      <c r="R4" s="156" t="s">
        <v>128</v>
      </c>
      <c r="S4" s="156" t="s">
        <v>106</v>
      </c>
    </row>
    <row r="5" spans="1:22" ht="13.5" customHeight="1">
      <c r="H5" s="63" t="s">
        <v>51</v>
      </c>
      <c r="P5" s="156">
        <v>2</v>
      </c>
      <c r="Q5" s="159" t="s">
        <v>133</v>
      </c>
      <c r="R5" s="156" t="s">
        <v>105</v>
      </c>
      <c r="S5" s="156" t="s">
        <v>107</v>
      </c>
    </row>
    <row r="6" spans="1:22" ht="13.5" customHeight="1">
      <c r="B6" s="45" t="s">
        <v>48</v>
      </c>
      <c r="C6" s="46"/>
      <c r="D6" s="222"/>
      <c r="E6" s="222"/>
      <c r="F6" s="223"/>
      <c r="H6" s="45" t="s">
        <v>52</v>
      </c>
      <c r="I6" s="57"/>
      <c r="J6" s="57"/>
      <c r="K6" s="57"/>
      <c r="L6" s="58"/>
      <c r="P6" s="156">
        <v>3</v>
      </c>
      <c r="Q6" s="159" t="s">
        <v>134</v>
      </c>
      <c r="R6" s="156" t="s">
        <v>105</v>
      </c>
      <c r="S6" s="156" t="s">
        <v>109</v>
      </c>
    </row>
    <row r="7" spans="1:22" ht="13.5" customHeight="1">
      <c r="B7" s="47"/>
      <c r="C7" s="48" t="s">
        <v>126</v>
      </c>
      <c r="D7" s="91" t="s">
        <v>53</v>
      </c>
      <c r="E7" s="50"/>
      <c r="F7" s="51"/>
      <c r="H7" s="47"/>
      <c r="I7" s="64" t="s">
        <v>50</v>
      </c>
      <c r="J7" s="64" t="s">
        <v>54</v>
      </c>
      <c r="K7" s="65" t="s">
        <v>38</v>
      </c>
      <c r="L7" s="104" t="s">
        <v>39</v>
      </c>
      <c r="P7" s="156">
        <v>4</v>
      </c>
      <c r="Q7" s="159" t="s">
        <v>135</v>
      </c>
      <c r="R7" s="156" t="s">
        <v>113</v>
      </c>
      <c r="S7" s="156" t="s">
        <v>111</v>
      </c>
    </row>
    <row r="8" spans="1:22" ht="13.5" customHeight="1">
      <c r="B8" s="52"/>
      <c r="C8" s="53" t="s">
        <v>7</v>
      </c>
      <c r="D8" s="109" t="s">
        <v>90</v>
      </c>
      <c r="E8" s="50"/>
      <c r="F8" s="51"/>
      <c r="H8" s="47"/>
      <c r="I8" s="66">
        <v>43282</v>
      </c>
      <c r="J8" s="110">
        <v>31.5</v>
      </c>
      <c r="K8" s="54">
        <v>1</v>
      </c>
      <c r="L8" s="76">
        <f t="shared" ref="L8:L19" si="0">J8-K8</f>
        <v>30.5</v>
      </c>
      <c r="P8" s="156">
        <v>5</v>
      </c>
      <c r="Q8" s="159" t="s">
        <v>136</v>
      </c>
      <c r="R8" s="156" t="s">
        <v>105</v>
      </c>
      <c r="S8" s="156" t="s">
        <v>112</v>
      </c>
    </row>
    <row r="9" spans="1:22" ht="13.5" customHeight="1">
      <c r="H9" s="47"/>
      <c r="I9" s="66">
        <f t="shared" ref="I9:I19" si="1">DATE(YEAR(I8),MONTH(I8)+1,1)</f>
        <v>43312</v>
      </c>
      <c r="J9" s="49">
        <f t="shared" ref="J9:J19" si="2">L8</f>
        <v>30.5</v>
      </c>
      <c r="K9" s="54">
        <v>0</v>
      </c>
      <c r="L9" s="76">
        <f t="shared" si="0"/>
        <v>30.5</v>
      </c>
      <c r="P9" s="157">
        <v>6</v>
      </c>
      <c r="Q9" s="161" t="s">
        <v>137</v>
      </c>
      <c r="R9" s="157" t="s">
        <v>128</v>
      </c>
      <c r="S9" s="157" t="s">
        <v>129</v>
      </c>
    </row>
    <row r="10" spans="1:22" ht="13.5" customHeight="1">
      <c r="B10" s="45" t="s">
        <v>55</v>
      </c>
      <c r="C10" s="46"/>
      <c r="D10" s="224"/>
      <c r="E10" s="224"/>
      <c r="F10" s="225"/>
      <c r="H10" s="47"/>
      <c r="I10" s="66">
        <f t="shared" si="1"/>
        <v>43343</v>
      </c>
      <c r="J10" s="49">
        <f t="shared" si="2"/>
        <v>30.5</v>
      </c>
      <c r="K10" s="54">
        <v>0</v>
      </c>
      <c r="L10" s="76">
        <f t="shared" si="0"/>
        <v>30.5</v>
      </c>
      <c r="P10" s="156">
        <v>7</v>
      </c>
      <c r="Q10" s="159" t="s">
        <v>138</v>
      </c>
      <c r="R10" s="156" t="s">
        <v>110</v>
      </c>
      <c r="S10" s="156" t="s">
        <v>130</v>
      </c>
    </row>
    <row r="11" spans="1:22" ht="13.5" customHeight="1">
      <c r="B11" s="47"/>
      <c r="C11" s="53" t="s">
        <v>56</v>
      </c>
      <c r="D11" s="106" t="s">
        <v>91</v>
      </c>
      <c r="E11" s="50"/>
      <c r="F11" s="51"/>
      <c r="H11" s="47"/>
      <c r="I11" s="66">
        <f t="shared" si="1"/>
        <v>43373</v>
      </c>
      <c r="J11" s="49">
        <f t="shared" si="2"/>
        <v>30.5</v>
      </c>
      <c r="K11" s="54">
        <v>0</v>
      </c>
      <c r="L11" s="76">
        <f t="shared" si="0"/>
        <v>30.5</v>
      </c>
      <c r="P11" s="157">
        <v>8</v>
      </c>
      <c r="Q11" s="161" t="s">
        <v>139</v>
      </c>
      <c r="R11" s="157" t="s">
        <v>113</v>
      </c>
      <c r="S11" s="157" t="s">
        <v>129</v>
      </c>
    </row>
    <row r="12" spans="1:22" ht="13.5" customHeight="1">
      <c r="B12" s="55"/>
      <c r="C12" s="53" t="s">
        <v>57</v>
      </c>
      <c r="D12" s="107" t="s">
        <v>93</v>
      </c>
      <c r="E12" s="50"/>
      <c r="F12" s="51"/>
      <c r="H12" s="47"/>
      <c r="I12" s="66">
        <f t="shared" si="1"/>
        <v>43404</v>
      </c>
      <c r="J12" s="49">
        <f t="shared" si="2"/>
        <v>30.5</v>
      </c>
      <c r="K12" s="54">
        <v>0.5</v>
      </c>
      <c r="L12" s="76">
        <f t="shared" si="0"/>
        <v>30</v>
      </c>
      <c r="P12" s="156">
        <v>9</v>
      </c>
      <c r="Q12" s="159" t="s">
        <v>140</v>
      </c>
      <c r="R12" s="156" t="s">
        <v>115</v>
      </c>
      <c r="S12" s="156" t="s">
        <v>114</v>
      </c>
    </row>
    <row r="13" spans="1:22" ht="13.5" customHeight="1">
      <c r="B13" s="52"/>
      <c r="C13" s="56" t="s">
        <v>58</v>
      </c>
      <c r="D13" s="108" t="s">
        <v>92</v>
      </c>
      <c r="E13" s="50"/>
      <c r="F13" s="51"/>
      <c r="H13" s="47"/>
      <c r="I13" s="66">
        <f t="shared" si="1"/>
        <v>43434</v>
      </c>
      <c r="J13" s="49">
        <f t="shared" si="2"/>
        <v>30</v>
      </c>
      <c r="K13" s="54">
        <v>1</v>
      </c>
      <c r="L13" s="76">
        <f t="shared" si="0"/>
        <v>29</v>
      </c>
      <c r="P13" s="156">
        <v>10</v>
      </c>
      <c r="Q13" s="159" t="s">
        <v>141</v>
      </c>
      <c r="R13" s="156" t="s">
        <v>117</v>
      </c>
      <c r="S13" s="156" t="s">
        <v>116</v>
      </c>
    </row>
    <row r="14" spans="1:22" ht="13.5" customHeight="1">
      <c r="H14" s="47"/>
      <c r="I14" s="66">
        <f>DATE(YEAR(I13),MONTH(I13)+1,1)</f>
        <v>43465</v>
      </c>
      <c r="J14" s="49">
        <f t="shared" si="2"/>
        <v>29</v>
      </c>
      <c r="K14" s="54">
        <v>1</v>
      </c>
      <c r="L14" s="76">
        <f t="shared" si="0"/>
        <v>28</v>
      </c>
      <c r="P14" s="156">
        <v>11</v>
      </c>
      <c r="Q14" s="159" t="s">
        <v>142</v>
      </c>
      <c r="R14" s="156" t="s">
        <v>108</v>
      </c>
      <c r="S14" s="156" t="s">
        <v>118</v>
      </c>
    </row>
    <row r="15" spans="1:22" ht="13.5" customHeight="1">
      <c r="B15" s="45" t="s">
        <v>59</v>
      </c>
      <c r="C15" s="57"/>
      <c r="D15" s="58"/>
      <c r="H15" s="47"/>
      <c r="I15" s="66">
        <f t="shared" si="1"/>
        <v>43496</v>
      </c>
      <c r="J15" s="49">
        <f t="shared" si="2"/>
        <v>28</v>
      </c>
      <c r="K15" s="54">
        <v>1</v>
      </c>
      <c r="L15" s="76">
        <f t="shared" si="0"/>
        <v>27</v>
      </c>
      <c r="P15" s="157">
        <v>12</v>
      </c>
      <c r="Q15" s="161" t="s">
        <v>143</v>
      </c>
      <c r="R15" s="157" t="s">
        <v>105</v>
      </c>
      <c r="S15" s="157" t="s">
        <v>131</v>
      </c>
    </row>
    <row r="16" spans="1:22" ht="13.5" customHeight="1">
      <c r="B16" s="55"/>
      <c r="C16" s="56" t="s">
        <v>60</v>
      </c>
      <c r="D16" s="49">
        <v>17.5</v>
      </c>
      <c r="H16" s="47"/>
      <c r="I16" s="66">
        <f t="shared" si="1"/>
        <v>43524</v>
      </c>
      <c r="J16" s="49">
        <f t="shared" si="2"/>
        <v>27</v>
      </c>
      <c r="K16" s="54">
        <v>0</v>
      </c>
      <c r="L16" s="76">
        <f t="shared" si="0"/>
        <v>27</v>
      </c>
      <c r="P16" s="156">
        <v>13</v>
      </c>
      <c r="Q16" s="159" t="s">
        <v>144</v>
      </c>
      <c r="R16" s="156" t="s">
        <v>105</v>
      </c>
      <c r="S16" s="156" t="s">
        <v>119</v>
      </c>
    </row>
    <row r="17" spans="2:19" ht="13.5" customHeight="1">
      <c r="B17" s="55"/>
      <c r="C17" s="56" t="s">
        <v>61</v>
      </c>
      <c r="D17" s="49">
        <v>14</v>
      </c>
      <c r="E17" t="s">
        <v>95</v>
      </c>
      <c r="H17" s="47"/>
      <c r="I17" s="66">
        <f>DATE(YEAR(I16),MONTH(I16)+1,1)</f>
        <v>43555</v>
      </c>
      <c r="J17" s="49">
        <f t="shared" si="2"/>
        <v>27</v>
      </c>
      <c r="K17" s="54">
        <v>1</v>
      </c>
      <c r="L17" s="76">
        <f t="shared" si="0"/>
        <v>26</v>
      </c>
      <c r="P17" s="156">
        <v>14</v>
      </c>
      <c r="Q17" s="159" t="s">
        <v>145</v>
      </c>
      <c r="R17" s="156" t="s">
        <v>108</v>
      </c>
      <c r="S17" s="156" t="s">
        <v>120</v>
      </c>
    </row>
    <row r="18" spans="2:19" ht="13.5" customHeight="1">
      <c r="B18" s="52"/>
      <c r="C18" s="59" t="s">
        <v>62</v>
      </c>
      <c r="D18" s="60">
        <v>31.5</v>
      </c>
      <c r="H18" s="47"/>
      <c r="I18" s="66">
        <f t="shared" si="1"/>
        <v>43585</v>
      </c>
      <c r="J18" s="49">
        <f t="shared" si="2"/>
        <v>26</v>
      </c>
      <c r="K18" s="54"/>
      <c r="L18" s="76">
        <f>J18-K18</f>
        <v>26</v>
      </c>
      <c r="P18" s="157">
        <v>15</v>
      </c>
      <c r="Q18" s="161" t="s">
        <v>146</v>
      </c>
      <c r="R18" s="157" t="s">
        <v>105</v>
      </c>
      <c r="S18" s="157" t="s">
        <v>131</v>
      </c>
    </row>
    <row r="19" spans="2:19" ht="13.5" customHeight="1">
      <c r="H19" s="52"/>
      <c r="I19" s="66">
        <f t="shared" si="1"/>
        <v>43616</v>
      </c>
      <c r="J19" s="49">
        <f t="shared" si="2"/>
        <v>26</v>
      </c>
      <c r="K19" s="54"/>
      <c r="L19" s="76">
        <f t="shared" si="0"/>
        <v>26</v>
      </c>
      <c r="P19" s="156">
        <v>16</v>
      </c>
      <c r="Q19" s="159" t="s">
        <v>147</v>
      </c>
      <c r="R19" s="156" t="s">
        <v>105</v>
      </c>
      <c r="S19" s="156" t="s">
        <v>121</v>
      </c>
    </row>
    <row r="20" spans="2:19" ht="13.5" customHeight="1" thickBot="1">
      <c r="B20" s="62" t="s">
        <v>63</v>
      </c>
      <c r="C20" s="57"/>
      <c r="D20" s="58"/>
      <c r="P20" s="156">
        <v>17</v>
      </c>
      <c r="Q20" s="159" t="s">
        <v>148</v>
      </c>
      <c r="R20" s="156" t="s">
        <v>105</v>
      </c>
      <c r="S20" s="156" t="s">
        <v>122</v>
      </c>
    </row>
    <row r="21" spans="2:19" ht="13.5" customHeight="1">
      <c r="B21" s="52"/>
      <c r="C21" s="53"/>
      <c r="D21" s="204">
        <v>0.33333333333333331</v>
      </c>
      <c r="G21" s="87" t="s">
        <v>64</v>
      </c>
      <c r="H21" s="88"/>
      <c r="I21" s="88" t="s">
        <v>65</v>
      </c>
      <c r="J21" s="88" t="s">
        <v>66</v>
      </c>
      <c r="K21" s="88" t="s">
        <v>67</v>
      </c>
      <c r="L21" s="88" t="s">
        <v>68</v>
      </c>
      <c r="M21" s="88" t="s">
        <v>69</v>
      </c>
      <c r="N21" s="88" t="s">
        <v>70</v>
      </c>
      <c r="P21" s="156">
        <v>18</v>
      </c>
      <c r="Q21" s="159" t="s">
        <v>149</v>
      </c>
      <c r="R21" s="156" t="s">
        <v>105</v>
      </c>
      <c r="S21" s="156" t="s">
        <v>123</v>
      </c>
    </row>
    <row r="22" spans="2:19" ht="13.5" customHeight="1" thickBot="1">
      <c r="G22" s="89"/>
      <c r="H22" s="90" t="s">
        <v>71</v>
      </c>
      <c r="I22" s="90" t="s">
        <v>71</v>
      </c>
      <c r="J22" s="90" t="s">
        <v>71</v>
      </c>
      <c r="K22" s="90" t="s">
        <v>71</v>
      </c>
      <c r="L22" s="90" t="s">
        <v>71</v>
      </c>
      <c r="M22" s="90" t="s">
        <v>71</v>
      </c>
      <c r="N22" s="90" t="s">
        <v>71</v>
      </c>
      <c r="P22" s="156">
        <v>19</v>
      </c>
      <c r="Q22" s="159" t="s">
        <v>150</v>
      </c>
      <c r="R22" s="156" t="s">
        <v>128</v>
      </c>
      <c r="S22" s="156" t="s">
        <v>132</v>
      </c>
    </row>
    <row r="23" spans="2:19" ht="13.5" customHeight="1" thickBot="1">
      <c r="G23" s="89" t="s">
        <v>44</v>
      </c>
      <c r="H23" s="90" t="s">
        <v>72</v>
      </c>
      <c r="I23" s="90" t="s">
        <v>73</v>
      </c>
      <c r="J23" s="90" t="s">
        <v>74</v>
      </c>
      <c r="K23" s="90" t="s">
        <v>75</v>
      </c>
      <c r="L23" s="90" t="s">
        <v>76</v>
      </c>
      <c r="M23" s="90" t="s">
        <v>77</v>
      </c>
      <c r="N23" s="90" t="s">
        <v>78</v>
      </c>
      <c r="P23" s="156">
        <v>20</v>
      </c>
      <c r="Q23" s="159" t="s">
        <v>151</v>
      </c>
      <c r="R23" s="156" t="s">
        <v>108</v>
      </c>
      <c r="S23" s="156" t="s">
        <v>124</v>
      </c>
    </row>
    <row r="24" spans="2:19" ht="13.5" customHeight="1">
      <c r="P24" s="157">
        <v>21</v>
      </c>
      <c r="Q24" s="161" t="s">
        <v>152</v>
      </c>
      <c r="R24" s="157" t="s">
        <v>105</v>
      </c>
      <c r="S24" s="157" t="s">
        <v>131</v>
      </c>
    </row>
    <row r="25" spans="2:19" ht="13.5" customHeight="1">
      <c r="P25" s="156">
        <v>22</v>
      </c>
      <c r="Q25" s="159" t="s">
        <v>153</v>
      </c>
      <c r="R25" s="156" t="s">
        <v>117</v>
      </c>
      <c r="S25" s="156" t="s">
        <v>125</v>
      </c>
    </row>
  </sheetData>
  <mergeCells count="2">
    <mergeCell ref="D6:F6"/>
    <mergeCell ref="D10:F10"/>
  </mergeCells>
  <phoneticPr fontId="20"/>
  <hyperlinks>
    <hyperlink ref="U3" r:id="rId1" display="http://koyomi.vis.ne.jp/sub/syukujitsu_table.htm" xr:uid="{67512AE9-74BC-4F64-82B6-4E4AC8B9795D}"/>
  </hyperlinks>
  <pageMargins left="0.36944444444444446" right="0.36944444444444446" top="0.74791666666666667" bottom="0.74791666666666667" header="0.31458333333333333" footer="0.31458333333333333"/>
  <pageSetup paperSize="9" scale="87" firstPageNumber="4294963191" orientation="portrait" copies="0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初期化">
                <anchor moveWithCells="1" sizeWithCells="1">
                  <from>
                    <xdr:col>4</xdr:col>
                    <xdr:colOff>419100</xdr:colOff>
                    <xdr:row>1</xdr:row>
                    <xdr:rowOff>19050</xdr:rowOff>
                  </from>
                  <to>
                    <xdr:col>6</xdr:col>
                    <xdr:colOff>523875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8"/>
  <sheetViews>
    <sheetView zoomScaleSheetLayoutView="100" workbookViewId="0">
      <selection activeCell="B16" sqref="B16"/>
    </sheetView>
  </sheetViews>
  <sheetFormatPr defaultColWidth="9" defaultRowHeight="13.5" customHeight="1"/>
  <cols>
    <col min="1" max="1" width="10.5" style="67" customWidth="1"/>
    <col min="2" max="2" width="42.5" customWidth="1"/>
  </cols>
  <sheetData>
    <row r="1" spans="1:2" ht="13.5" customHeight="1">
      <c r="A1" s="67" t="s">
        <v>79</v>
      </c>
    </row>
    <row r="3" spans="1:2" ht="13.5" customHeight="1">
      <c r="A3" s="68" t="s">
        <v>80</v>
      </c>
      <c r="B3" s="69" t="s">
        <v>81</v>
      </c>
    </row>
    <row r="4" spans="1:2" ht="13.5" customHeight="1">
      <c r="A4" s="70" t="s">
        <v>82</v>
      </c>
      <c r="B4" s="49" t="s">
        <v>83</v>
      </c>
    </row>
    <row r="5" spans="1:2" ht="13.5" customHeight="1">
      <c r="A5" s="71">
        <v>39562</v>
      </c>
      <c r="B5" s="72" t="s">
        <v>84</v>
      </c>
    </row>
    <row r="6" spans="1:2" ht="13.5" customHeight="1">
      <c r="A6" s="73"/>
      <c r="B6" s="74" t="s">
        <v>85</v>
      </c>
    </row>
    <row r="7" spans="1:2" ht="13.5" customHeight="1">
      <c r="A7" s="75"/>
      <c r="B7" s="76" t="s">
        <v>86</v>
      </c>
    </row>
    <row r="8" spans="1:2" ht="13.5" customHeight="1">
      <c r="A8" s="77">
        <v>39598</v>
      </c>
      <c r="B8" s="49" t="s">
        <v>87</v>
      </c>
    </row>
    <row r="9" spans="1:2" ht="13.5" customHeight="1">
      <c r="A9" s="77">
        <v>39785</v>
      </c>
      <c r="B9" s="49" t="s">
        <v>88</v>
      </c>
    </row>
    <row r="10" spans="1:2" ht="13.5" customHeight="1">
      <c r="A10" s="77">
        <v>41114</v>
      </c>
      <c r="B10" s="49" t="s">
        <v>89</v>
      </c>
    </row>
    <row r="11" spans="1:2" ht="13.5" customHeight="1">
      <c r="A11" s="70"/>
      <c r="B11" s="49"/>
    </row>
    <row r="12" spans="1:2" ht="13.5" customHeight="1">
      <c r="A12" s="70"/>
      <c r="B12" s="49"/>
    </row>
    <row r="13" spans="1:2" ht="13.5" customHeight="1">
      <c r="A13" s="70"/>
      <c r="B13" s="49"/>
    </row>
    <row r="14" spans="1:2" ht="13.5" customHeight="1">
      <c r="A14" s="70"/>
      <c r="B14" s="49"/>
    </row>
    <row r="15" spans="1:2" ht="13.5" customHeight="1">
      <c r="A15" s="70"/>
      <c r="B15" s="49"/>
    </row>
    <row r="16" spans="1:2" ht="13.5" customHeight="1">
      <c r="A16" s="70"/>
      <c r="B16" s="49"/>
    </row>
    <row r="17" spans="1:2" ht="13.5" customHeight="1">
      <c r="A17" s="70"/>
      <c r="B17" s="49"/>
    </row>
    <row r="18" spans="1:2" ht="13.5" customHeight="1">
      <c r="A18" s="70"/>
      <c r="B18" s="49"/>
    </row>
    <row r="19" spans="1:2" ht="13.5" customHeight="1">
      <c r="A19" s="70"/>
      <c r="B19" s="49"/>
    </row>
    <row r="20" spans="1:2" ht="13.5" customHeight="1">
      <c r="A20" s="70"/>
      <c r="B20" s="49"/>
    </row>
    <row r="21" spans="1:2" ht="13.5" customHeight="1">
      <c r="A21" s="70"/>
      <c r="B21" s="49"/>
    </row>
    <row r="22" spans="1:2" ht="13.5" customHeight="1">
      <c r="A22" s="70"/>
      <c r="B22" s="49"/>
    </row>
    <row r="23" spans="1:2" ht="13.5" customHeight="1">
      <c r="A23" s="70"/>
      <c r="B23" s="49"/>
    </row>
    <row r="24" spans="1:2" ht="13.5" customHeight="1">
      <c r="A24" s="70"/>
      <c r="B24" s="49"/>
    </row>
    <row r="25" spans="1:2" ht="13.5" customHeight="1">
      <c r="A25" s="70"/>
      <c r="B25" s="49"/>
    </row>
    <row r="26" spans="1:2" ht="13.5" customHeight="1">
      <c r="A26" s="70"/>
      <c r="B26" s="49"/>
    </row>
    <row r="27" spans="1:2" ht="13.5" customHeight="1">
      <c r="A27" s="70"/>
      <c r="B27" s="49"/>
    </row>
    <row r="28" spans="1:2" ht="13.5" customHeight="1">
      <c r="A28" s="70"/>
      <c r="B28" s="49"/>
    </row>
  </sheetData>
  <phoneticPr fontId="20"/>
  <pageMargins left="0.69861111111111107" right="0.69861111111111107" top="0.75" bottom="0.75" header="0.3" footer="0.3"/>
  <pageSetup paperSize="9" firstPageNumber="4294963191" orientation="portrait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勤務報告書</vt:lpstr>
      <vt:lpstr>基本情報</vt:lpstr>
      <vt:lpstr>更新履歴</vt:lpstr>
      <vt:lpstr>勤務報告書!Print_Area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suzuki-t4</dc:creator>
  <cp:lastModifiedBy>トラストクリエイション１０</cp:lastModifiedBy>
  <cp:revision/>
  <cp:lastPrinted>2019-05-22T05:51:10Z</cp:lastPrinted>
  <dcterms:created xsi:type="dcterms:W3CDTF">2012-07-26T04:33:26Z</dcterms:created>
  <dcterms:modified xsi:type="dcterms:W3CDTF">2019-08-09T06:33:30Z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1041-6.6.0.2724</vt:lpwstr>
  </property>
  <property fmtid="{D5CDD505-2E9C-101B-9397-08002B2CF9AE}" pid="3" name="WorkbookGuid">
    <vt:lpwstr>17b278ca-5c0c-474f-bd3c-172bf283c7ff</vt:lpwstr>
  </property>
</Properties>
</file>